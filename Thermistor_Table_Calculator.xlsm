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_rels/sheet8.xml.rels" ContentType="application/vnd.openxmlformats-package.relationships+xml"/>
  <Override PartName="/xl/worksheets/_rels/sheet5.xml.rels" ContentType="application/vnd.openxmlformats-package.relationships+xml"/>
  <Override PartName="/xl/worksheets/_rels/sheet7.xml.rels" ContentType="application/vnd.openxmlformats-package.relationships+xml"/>
  <Override PartName="/xl/worksheets/_rels/sheet1.xml.rels" ContentType="application/vnd.openxmlformats-package.relationships+xml"/>
  <Override PartName="/xl/worksheets/_rels/sheet4.xml.rels" ContentType="application/vnd.openxmlformats-package.relationships+xml"/>
  <Override PartName="/xl/worksheets/_rels/sheet3.xml.rels" ContentType="application/vnd.openxmlformats-package.relationships+xml"/>
  <Override PartName="/xl/worksheets/_rels/sheet2.xml.rels" ContentType="application/vnd.openxmlformats-package.relationship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media/image16.png" ContentType="image/png"/>
  <Override PartName="/xl/media/image17.png" ContentType="image/png"/>
  <Override PartName="/xl/media/image18.png" ContentType="image/png"/>
  <Override PartName="/xl/media/image19.png" ContentType="image/png"/>
  <Override PartName="/xl/media/image20.png" ContentType="image/png"/>
  <Override PartName="/xl/drawings/_rels/drawing10.xml.rels" ContentType="application/vnd.openxmlformats-package.relationships+xml"/>
  <Override PartName="/xl/drawings/_rels/drawing9.xml.rels" ContentType="application/vnd.openxmlformats-package.relationships+xml"/>
  <Override PartName="/xl/drawings/_rels/drawing3.xml.rels" ContentType="application/vnd.openxmlformats-package.relationships+xml"/>
  <Override PartName="/xl/drawings/_rels/drawing6.xml.rels" ContentType="application/vnd.openxmlformats-package.relationships+xml"/>
  <Override PartName="/xl/drawings/_rels/drawing1.xml.rels" ContentType="application/vnd.openxmlformats-package.relationships+xml"/>
  <Override PartName="/xl/drawings/drawing1.xml" ContentType="application/vnd.openxmlformats-officedocument.drawing+xml"/>
  <Override PartName="/xl/drawings/vmlDrawing1.vml" ContentType="application/vnd.openxmlformats-officedocument.vmlDrawing"/>
  <Override PartName="/xl/drawings/drawing6.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vmlDrawing2.vml" ContentType="application/vnd.openxmlformats-officedocument.vmlDrawing"/>
  <Override PartName="/xl/drawings/drawing7.xml" ContentType="application/vnd.openxmlformats-officedocument.drawing+xml"/>
  <Override PartName="/xl/drawings/vmlDrawing3.vml" ContentType="application/vnd.openxmlformats-officedocument.vmlDrawing"/>
  <Override PartName="/xl/drawings/drawing9.xml" ContentType="application/vnd.openxmlformats-officedocument.drawing+xml"/>
  <Override PartName="/xl/drawings/drawing10.xml" ContentType="application/vnd.openxmlformats-officedocument.drawing+xml"/>
  <Override PartName="/xl/ctrlProps/ctrlProps2.xml" ContentType="application/vnd.ms-excel.controlproperties+xml"/>
  <Override PartName="/xl/ctrlProps/ctrlProps5.xml" ContentType="application/vnd.ms-excel.controlproperties+xml"/>
  <Override PartName="/xl/ctrlProps/ctrlProps8.xml" ContentType="application/vnd.ms-excel.contro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1 ThermistorTableConversion" sheetId="1" state="visible" r:id="rId3"/>
    <sheet name="1 Instructions &amp; example" sheetId="2" state="visible" r:id="rId4"/>
    <sheet name="2 Thermistor from Beta" sheetId="3" state="visible" r:id="rId5"/>
    <sheet name="2 Instructions &amp; Example" sheetId="4" state="visible" r:id="rId6"/>
    <sheet name="3 Thermistor from SteinhartHart" sheetId="5" state="visible" r:id="rId7"/>
    <sheet name="3 Instructions and examples" sheetId="6" state="visible" r:id="rId8"/>
    <sheet name="Comparison Chart" sheetId="7" state="visible" r:id="rId9"/>
    <sheet name="Comparison Chart (2)" sheetId="8" state="visible" r:id="rId10"/>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<sst xmlns="http://schemas.openxmlformats.org/spreadsheetml/2006/main" count="105" uniqueCount="71">
  <si>
    <t xml:space="preserve">pullup R:</t>
  </si>
  <si>
    <t xml:space="preserve">kOhm</t>
  </si>
  <si>
    <t xml:space="preserve">Output Marlin Thermistor Table (note: don't add *OVERSAMPLENR)</t>
  </si>
  <si>
    <t xml:space="preserve">V_in</t>
  </si>
  <si>
    <t xml:space="preserve">V</t>
  </si>
  <si>
    <t xml:space="preserve">oversampler</t>
  </si>
  <si>
    <t xml:space="preserve">R25</t>
  </si>
  <si>
    <t xml:space="preserve">kOhm (at 25°C)</t>
  </si>
  <si>
    <t xml:space="preserve">scale</t>
  </si>
  <si>
    <t xml:space="preserve">(precision of voltage measurement)</t>
  </si>
  <si>
    <t xml:space="preserve">Temp</t>
  </si>
  <si>
    <t xml:space="preserve">R (kOhm)</t>
  </si>
  <si>
    <t xml:space="preserve">V DC</t>
  </si>
  <si>
    <t xml:space="preserve">Reading</t>
  </si>
  <si>
    <t xml:space="preserve">Reading - oversampled</t>
  </si>
  <si>
    <t xml:space="preserve">T (°C)</t>
  </si>
  <si>
    <t xml:space="preserve">RT/R25</t>
  </si>
  <si>
    <t xml:space="preserve">From thermistor datasheet: </t>
  </si>
  <si>
    <t xml:space="preserve">B57560G104F</t>
  </si>
  <si>
    <t xml:space="preserve">R/T characteristics: 8304</t>
  </si>
  <si>
    <t xml:space="preserve">nickel plated wires</t>
  </si>
  <si>
    <r>
      <rPr>
        <b val="true"/>
        <u val="single"/>
        <sz val="11"/>
        <color rgb="FF000000"/>
        <rFont val="Calibri"/>
        <family val="2"/>
        <charset val="1"/>
      </rPr>
      <t xml:space="preserve">1.)</t>
    </r>
    <r>
      <rPr>
        <sz val="11"/>
        <color rgb="FF000000"/>
        <rFont val="Calibri"/>
        <family val="2"/>
        <charset val="1"/>
      </rPr>
      <t xml:space="preserve"> Get your thermistor R/T datasheets from the manufacturer. These should be fairly easy to find on the supplier's website. See example below of how to get your R/T tables (example is from the Epcos 100k thermistor [B57560G104F] that I use for my hot end, very similar to the one originally provided by makergear) - pages below are extracts from the datasheets only.</t>
    </r>
  </si>
  <si>
    <r>
      <rPr>
        <b val="true"/>
        <u val="single"/>
        <sz val="11"/>
        <color rgb="FF000000"/>
        <rFont val="Calibri"/>
        <family val="2"/>
        <charset val="1"/>
      </rPr>
      <t xml:space="preserve">2.)</t>
    </r>
    <r>
      <rPr>
        <sz val="11"/>
        <color rgb="FF000000"/>
        <rFont val="Calibri"/>
        <family val="2"/>
        <charset val="1"/>
      </rPr>
      <t xml:space="preserve"> Copy the </t>
    </r>
    <r>
      <rPr>
        <b val="true"/>
        <sz val="11"/>
        <color rgb="FF000000"/>
        <rFont val="Calibri"/>
        <family val="2"/>
        <charset val="1"/>
      </rPr>
      <t xml:space="preserve">R and T</t>
    </r>
    <r>
      <rPr>
        <sz val="11"/>
        <color rgb="FF000000"/>
        <rFont val="Calibri"/>
        <family val="2"/>
        <charset val="1"/>
      </rPr>
      <t xml:space="preserve"> values into the main sheet, in the red cells (note: the Alpha [%/k] values aren't required)</t>
    </r>
  </si>
  <si>
    <r>
      <rPr>
        <b val="true"/>
        <u val="single"/>
        <sz val="11"/>
        <color rgb="FF000000"/>
        <rFont val="Calibri"/>
        <family val="2"/>
        <charset val="1"/>
      </rPr>
      <t xml:space="preserve">3.)</t>
    </r>
    <r>
      <rPr>
        <sz val="11"/>
        <color rgb="FF000000"/>
        <rFont val="Calibri"/>
        <family val="2"/>
        <charset val="1"/>
      </rPr>
      <t xml:space="preserve"> enter the value of your </t>
    </r>
    <r>
      <rPr>
        <b val="true"/>
        <sz val="11"/>
        <color rgb="FF000000"/>
        <rFont val="Calibri"/>
        <family val="2"/>
        <charset val="1"/>
      </rPr>
      <t xml:space="preserve">pull-up resistor</t>
    </r>
    <r>
      <rPr>
        <sz val="11"/>
        <color rgb="FF000000"/>
        <rFont val="Calibri"/>
        <family val="2"/>
        <charset val="1"/>
      </rPr>
      <t xml:space="preserve"> (the resistor used in your voltage divider, which allows you to measure the relative resistance of the thermistor). This is typically </t>
    </r>
    <r>
      <rPr>
        <b val="true"/>
        <sz val="11"/>
        <color rgb="FF000000"/>
        <rFont val="Calibri"/>
        <family val="2"/>
        <charset val="1"/>
      </rPr>
      <t xml:space="preserve">4.7 kOhm</t>
    </r>
    <r>
      <rPr>
        <sz val="11"/>
        <color rgb="FF000000"/>
        <rFont val="Calibri"/>
        <family val="2"/>
        <charset val="1"/>
      </rPr>
      <t xml:space="preserve">. Check the design of your control board (RUMBA, RAMPS, etc), or ask the supplier what the value of this Pullup Resistor is.</t>
    </r>
  </si>
  <si>
    <r>
      <rPr>
        <b val="true"/>
        <u val="single"/>
        <sz val="11"/>
        <color rgb="FF000000"/>
        <rFont val="Calibri"/>
        <family val="2"/>
        <charset val="1"/>
      </rPr>
      <t xml:space="preserve">4.)</t>
    </r>
    <r>
      <rPr>
        <sz val="11"/>
        <color rgb="FF000000"/>
        <rFont val="Calibri"/>
        <family val="2"/>
        <charset val="1"/>
      </rPr>
      <t xml:space="preserve"> Enter the voltage into the voltage divider, </t>
    </r>
    <r>
      <rPr>
        <b val="true"/>
        <sz val="11"/>
        <color rgb="FF000000"/>
        <rFont val="Calibri"/>
        <family val="2"/>
        <charset val="1"/>
      </rPr>
      <t xml:space="preserve">Vin</t>
    </r>
    <r>
      <rPr>
        <sz val="11"/>
        <color rgb="FF000000"/>
        <rFont val="Calibri"/>
        <family val="2"/>
        <charset val="1"/>
      </rPr>
      <t xml:space="preserve"> (typically </t>
    </r>
    <r>
      <rPr>
        <b val="true"/>
        <sz val="11"/>
        <color rgb="FF000000"/>
        <rFont val="Calibri"/>
        <family val="2"/>
        <charset val="1"/>
      </rPr>
      <t xml:space="preserve">5V</t>
    </r>
    <r>
      <rPr>
        <sz val="11"/>
        <color rgb="FF000000"/>
        <rFont val="Calibri"/>
        <family val="2"/>
        <charset val="1"/>
      </rPr>
      <t xml:space="preserve">, as this is standard logic voltage)</t>
    </r>
  </si>
  <si>
    <r>
      <rPr>
        <b val="true"/>
        <u val="single"/>
        <sz val="11"/>
        <color rgb="FF000000"/>
        <rFont val="Calibri"/>
        <family val="2"/>
        <charset val="1"/>
      </rPr>
      <t xml:space="preserve">5.)</t>
    </r>
    <r>
      <rPr>
        <sz val="11"/>
        <color rgb="FF000000"/>
        <rFont val="Calibri"/>
        <family val="2"/>
        <charset val="1"/>
      </rPr>
      <t xml:space="preserve"> Enter the </t>
    </r>
    <r>
      <rPr>
        <b val="true"/>
        <sz val="11"/>
        <color rgb="FF000000"/>
        <rFont val="Calibri"/>
        <family val="2"/>
        <charset val="1"/>
      </rPr>
      <t xml:space="preserve">Oversampling</t>
    </r>
    <r>
      <rPr>
        <sz val="11"/>
        <color rgb="FF000000"/>
        <rFont val="Calibri"/>
        <family val="2"/>
        <charset val="1"/>
      </rPr>
      <t xml:space="preserve"> number. For marlin, this is </t>
    </r>
    <r>
      <rPr>
        <b val="true"/>
        <sz val="11"/>
        <color rgb="FF000000"/>
        <rFont val="Calibri"/>
        <family val="2"/>
        <charset val="1"/>
      </rPr>
      <t xml:space="preserve">16</t>
    </r>
    <r>
      <rPr>
        <sz val="11"/>
        <color rgb="FF000000"/>
        <rFont val="Calibri"/>
        <family val="2"/>
        <charset val="1"/>
      </rPr>
      <t xml:space="preserve"> (the thermistor tables in marlin show a measurement value of X * OVERSMAPLENR, but since we include the oversampling here, you just copy the values straight in, as shown on the marlin_table sheet that is generated later). oversampling is used to get greater precision of measurements.</t>
    </r>
  </si>
  <si>
    <r>
      <rPr>
        <b val="true"/>
        <u val="single"/>
        <sz val="11"/>
        <color rgb="FF000000"/>
        <rFont val="Calibri"/>
        <family val="2"/>
        <charset val="1"/>
      </rPr>
      <t xml:space="preserve">6.)</t>
    </r>
    <r>
      <rPr>
        <sz val="11"/>
        <color rgb="FF000000"/>
        <rFont val="Calibri"/>
        <family val="2"/>
        <charset val="1"/>
      </rPr>
      <t xml:space="preserve"> Enter the Thermistor resistance at 25°C, </t>
    </r>
    <r>
      <rPr>
        <b val="true"/>
        <sz val="11"/>
        <color rgb="FF000000"/>
        <rFont val="Calibri"/>
        <family val="2"/>
        <charset val="1"/>
      </rPr>
      <t xml:space="preserve">R25.</t>
    </r>
    <r>
      <rPr>
        <sz val="11"/>
        <color rgb="FF000000"/>
        <rFont val="Calibri"/>
        <family val="2"/>
        <charset val="1"/>
      </rPr>
      <t xml:space="preserve"> This is the standard value used to specify a thermistor. The resistance of the thermistor at other temperatures is given in the tables relative to R25 (i.e. as a fraction or multiple of R25), so all values in that table get multiplied by this to give the actual resistance, from which the measured voltage is derived. Normally </t>
    </r>
    <r>
      <rPr>
        <b val="true"/>
        <sz val="11"/>
        <color rgb="FF000000"/>
        <rFont val="Calibri"/>
        <family val="2"/>
        <charset val="1"/>
      </rPr>
      <t xml:space="preserve">100kOhm</t>
    </r>
    <r>
      <rPr>
        <sz val="11"/>
        <color rgb="FF000000"/>
        <rFont val="Calibri"/>
        <family val="2"/>
        <charset val="1"/>
      </rPr>
      <t xml:space="preserve"> thermistors are used for reprap controls. If you're unsure, just measure the resistance of your thermistor at room temperature, and this will give you a pretty good idea of the nominal resistance.</t>
    </r>
  </si>
  <si>
    <r>
      <rPr>
        <b val="true"/>
        <u val="single"/>
        <sz val="11"/>
        <color rgb="FF000000"/>
        <rFont val="Calibri"/>
        <family val="2"/>
        <charset val="1"/>
      </rPr>
      <t xml:space="preserve">7.)</t>
    </r>
    <r>
      <rPr>
        <sz val="11"/>
        <color rgb="FF000000"/>
        <rFont val="Calibri"/>
        <family val="2"/>
        <charset val="1"/>
      </rPr>
      <t xml:space="preserve"> Enter the precision of the voltage measurement </t>
    </r>
    <r>
      <rPr>
        <b val="true"/>
        <sz val="11"/>
        <color rgb="FF000000"/>
        <rFont val="Calibri"/>
        <family val="2"/>
        <charset val="1"/>
      </rPr>
      <t xml:space="preserve">scale.</t>
    </r>
    <r>
      <rPr>
        <sz val="11"/>
        <color rgb="FF000000"/>
        <rFont val="Calibri"/>
        <family val="2"/>
        <charset val="1"/>
      </rPr>
      <t xml:space="preserve"> For arduino boards, so for normal reprap applications, this is </t>
    </r>
    <r>
      <rPr>
        <b val="true"/>
        <sz val="11"/>
        <color rgb="FF000000"/>
        <rFont val="Calibri"/>
        <family val="2"/>
        <charset val="1"/>
      </rPr>
      <t xml:space="preserve">1023</t>
    </r>
    <r>
      <rPr>
        <sz val="11"/>
        <color rgb="FF000000"/>
        <rFont val="Calibri"/>
        <family val="2"/>
        <charset val="1"/>
      </rPr>
      <t xml:space="preserve"> (i.e. the analogue measurement splits a voltage of 5V into 1024 increments)</t>
    </r>
  </si>
  <si>
    <r>
      <rPr>
        <b val="true"/>
        <u val="single"/>
        <sz val="11"/>
        <color rgb="FF000000"/>
        <rFont val="Calibri"/>
        <family val="2"/>
        <charset val="1"/>
      </rPr>
      <t xml:space="preserve">8.)</t>
    </r>
    <r>
      <rPr>
        <sz val="11"/>
        <color rgb="FF000000"/>
        <rFont val="Calibri"/>
        <family val="2"/>
        <charset val="1"/>
      </rPr>
      <t xml:space="preserve"> Once you are happy with all of the values in </t>
    </r>
    <r>
      <rPr>
        <sz val="11"/>
        <color rgb="FFFF0000"/>
        <rFont val="Calibri"/>
        <family val="2"/>
        <charset val="1"/>
      </rPr>
      <t xml:space="preserve">RED BORDERED</t>
    </r>
    <r>
      <rPr>
        <sz val="11"/>
        <color rgb="FF000000"/>
        <rFont val="Calibri"/>
        <family val="2"/>
        <charset val="1"/>
      </rPr>
      <t xml:space="preserve"> cells, you can check your READING values at various temperatures, compare them to other tables in Marlin. If the values line up with another thermistor table already in Marlin, great, use that table (note: compare the values in the READING column, column D, since These are the values before teh oversampling factor is applied, and the tables in Marlin include an oversampling Multiplier).
       Otherwise, add your own table by copying the format of the other tables, and specify the new number that you give it as your thermistor number (in the "configure" code) (or just paste your data over the top of a thermistor table that you aren't using! and comment it accordingly in the code!).</t>
    </r>
  </si>
  <si>
    <r>
      <rPr>
        <b val="true"/>
        <u val="single"/>
        <sz val="11"/>
        <color rgb="FF000000"/>
        <rFont val="Calibri"/>
        <family val="2"/>
        <charset val="1"/>
      </rPr>
      <t xml:space="preserve">9.)</t>
    </r>
    <r>
      <rPr>
        <sz val="11"/>
        <color rgb="FF000000"/>
        <rFont val="Calibri"/>
        <family val="2"/>
        <charset val="1"/>
      </rPr>
      <t xml:space="preserve"> to get a table that you can just copy and paste into your custom Thermistor Table in Marlin, click on the </t>
    </r>
    <r>
      <rPr>
        <b val="true"/>
        <sz val="11"/>
        <color rgb="FF000000"/>
        <rFont val="Calibri"/>
        <family val="2"/>
        <charset val="1"/>
      </rPr>
      <t xml:space="preserve">"Create Table" button</t>
    </r>
    <r>
      <rPr>
        <sz val="11"/>
        <color rgb="FF000000"/>
        <rFont val="Calibri"/>
        <family val="2"/>
        <charset val="1"/>
      </rPr>
      <t xml:space="preserve">. This will just create a new sheet with correctly syntaxed data for the table, running from high temp to low temp (as per marlin standard). You can copy and paste these cells directly into the Marlin code.</t>
    </r>
  </si>
  <si>
    <r>
      <rPr>
        <b val="true"/>
        <sz val="11"/>
        <color rgb="FF000000"/>
        <rFont val="Calibri"/>
        <family val="2"/>
        <charset val="1"/>
      </rPr>
      <t xml:space="preserve">10.)</t>
    </r>
    <r>
      <rPr>
        <sz val="11"/>
        <color rgb="FF000000"/>
        <rFont val="Calibri"/>
        <family val="2"/>
        <charset val="1"/>
      </rPr>
      <t xml:space="preserve"> Remember, at the end of the day, the R25 temp is the most important value, and is easy to measure with a Digital Multimeter. If you don't actually have any technical data about your thermistor, you just need to do the following:
    a. Measure your thermistor's resistance at room temperature
    b. Select a thermistor table in your firmware with an appropriate R25 value
    c. Slowly increase the temperature (using printer control software like Pronterface, etc) until you are able to manually push filament through the hot end and have it melt, extruding out the nozzle.
    d. This temperature set point can be compared to the theoretical melting point of the filament. If it's close enough, leave the thermistor table as is. If not, select a different table and repeat, or adjust the values in the table so that the Room Temp reading and Melting Point temp line up (i.e. the temperature readings from your printer are roughly what's expected based on the approximate room temperature and melting point of the plastic).
    e. Now just fine tune your Nozzle Temperature set point (for printing, in your slicer software), as you would normally do regardless of the uncertainty of your thermistor.
    f. It doesn't matter if you have a bit of an error between your Measured versus Actual temperatures, as long as it is a consistent error, you can still calibrate the printer to run at a set point suitable for that particular filament. You only need to be accurate enough that you can still set reasonable safety limits on your temperature, to prevent damaging the hot end by overtemperature.</t>
    </r>
  </si>
  <si>
    <t xml:space="preserve">R0</t>
  </si>
  <si>
    <t xml:space="preserve">T0</t>
  </si>
  <si>
    <t xml:space="preserve">°C</t>
  </si>
  <si>
    <t xml:space="preserve">K</t>
  </si>
  <si>
    <t xml:space="preserve">B (Beta, B25/100)</t>
  </si>
  <si>
    <t xml:space="preserve">T_B</t>
  </si>
  <si>
    <t xml:space="preserve">T (K)</t>
  </si>
  <si>
    <t xml:space="preserve">References:</t>
  </si>
  <si>
    <t xml:space="preserve">http://en.wikipedia.org/wiki/Thermistor</t>
  </si>
  <si>
    <r>
      <rPr>
        <sz val="11"/>
        <color rgb="FF000000"/>
        <rFont val="Calibri"/>
        <family val="2"/>
        <charset val="1"/>
      </rPr>
      <t xml:space="preserve">1.) Using the Beta &amp; R25 values supplied by whoever sold you the thermistor (or looking up the datasheets online) complete the calculation inputs (in </t>
    </r>
    <r>
      <rPr>
        <sz val="11"/>
        <color rgb="FFFF0000"/>
        <rFont val="Calibri"/>
        <family val="2"/>
        <charset val="1"/>
      </rPr>
      <t xml:space="preserve">RED BORDERS</t>
    </r>
    <r>
      <rPr>
        <sz val="11"/>
        <color rgb="FF000000"/>
        <rFont val="Calibri"/>
        <family val="2"/>
        <charset val="1"/>
      </rPr>
      <t xml:space="preserve">)</t>
    </r>
  </si>
  <si>
    <t xml:space="preserve">2.) Input the values for R Pullup, Vin, Oversampling number, and scale, as discussed in method 1.</t>
  </si>
  <si>
    <t xml:space="preserve">3.) see example below, for my thermistor.</t>
  </si>
  <si>
    <t xml:space="preserve">4.) click the button to generate the thermistor table for use in marlin</t>
  </si>
  <si>
    <t xml:space="preserve">NOTE: this method has greater error than using the R/T tables or manual calibrations, but is useful if all you know is the beta value. Note the comments in Method 1, regarding accuracy of your values.</t>
  </si>
  <si>
    <t xml:space="preserve">data point #</t>
  </si>
  <si>
    <t xml:space="preserve">R (Ohm)</t>
  </si>
  <si>
    <t xml:space="preserve">LN R</t>
  </si>
  <si>
    <t xml:space="preserve">Calculation Values</t>
  </si>
  <si>
    <t xml:space="preserve">Steinhart-Hart Equation Coefficients</t>
  </si>
  <si>
    <t xml:space="preserve">Z</t>
  </si>
  <si>
    <t xml:space="preserve">C3</t>
  </si>
  <si>
    <t xml:space="preserve">Y</t>
  </si>
  <si>
    <t xml:space="preserve">C2</t>
  </si>
  <si>
    <t xml:space="preserve">X</t>
  </si>
  <si>
    <t xml:space="preserve">C1</t>
  </si>
  <si>
    <t xml:space="preserve">W</t>
  </si>
  <si>
    <t xml:space="preserve">U</t>
  </si>
  <si>
    <t xml:space="preserve">T(°C)</t>
  </si>
  <si>
    <t xml:space="preserve">T (k)</t>
  </si>
  <si>
    <t xml:space="preserve">y</t>
  </si>
  <si>
    <t xml:space="preserve">x</t>
  </si>
  <si>
    <t xml:space="preserve">R (Ohms)</t>
  </si>
  <si>
    <t xml:space="preserve">http://assets.newport.com/webDocuments-EN/images/AN04_Thermistor_Calibration_IX.PDF</t>
  </si>
  <si>
    <t xml:space="preserve">1. measure your thermistor resistance at room temperature (take multiple measurements and average the results), and record the temperature of your thermistor using a digital thermometer</t>
  </si>
  <si>
    <t xml:space="preserve">2. Raise the temperature of your thermistor to a value somewhere just below the temperature that you expect to print at. Measure &amp; record the temperature and resistance</t>
  </si>
  <si>
    <t xml:space="preserve">3.  Raise the temperature of your thermistor to a value above what you expect to print at (being careful not to OVER heat it). Measure temperature and resistance again</t>
  </si>
  <si>
    <t xml:space="preserve">4. Input these three pairs of values on the calculation sheet. These will be used to calculate the coefficients for the Steinhart-Hart equation.</t>
  </si>
  <si>
    <t xml:space="preserve">5. Input the remaining values on the calc sheet (Vin, R pullup, scale, oversampling)</t>
  </si>
  <si>
    <t xml:space="preserve">6. click the button to generate the new table for use in Marlin</t>
  </si>
  <si>
    <t xml:space="preserve">NOTE: this method is extremely accurate, if the measurements are taken accurately.</t>
  </si>
</sst>
</file>

<file path=xl/styles.xml><?xml version="1.0" encoding="utf-8"?>
<styleSheet xmlns="http://schemas.openxmlformats.org/spreadsheetml/2006/main">
  <numFmts count="2">
    <numFmt numFmtId="164" formatCode="General"/>
    <numFmt numFmtId="165" formatCode="General"/>
  </numFmts>
  <fonts count="14">
    <font>
      <sz val="11"/>
      <color rgb="FF000000"/>
      <name val="Calibri"/>
      <family val="2"/>
      <charset val="1"/>
    </font>
    <font>
      <sz val="10"/>
      <name val="Arial"/>
      <family val="0"/>
    </font>
    <font>
      <sz val="10"/>
      <name val="Arial"/>
      <family val="0"/>
    </font>
    <font>
      <sz val="10"/>
      <name val="Arial"/>
      <family val="0"/>
    </font>
    <font>
      <u val="single"/>
      <sz val="11"/>
      <color rgb="FF000000"/>
      <name val="Calibri"/>
      <family val="2"/>
      <charset val="1"/>
    </font>
    <font>
      <sz val="11"/>
      <color rgb="FF0070C0"/>
      <name val="Calibri"/>
      <family val="2"/>
      <charset val="1"/>
    </font>
    <font>
      <sz val="11"/>
      <color rgb="FFFFC000"/>
      <name val="Calibri"/>
      <family val="2"/>
      <charset val="1"/>
    </font>
    <font>
      <b val="true"/>
      <sz val="18"/>
      <color rgb="FF000000"/>
      <name val="Calibri"/>
      <family val="2"/>
    </font>
    <font>
      <sz val="10"/>
      <color rgb="FF000000"/>
      <name val="Calibri"/>
      <family val="2"/>
    </font>
    <font>
      <b val="true"/>
      <sz val="10"/>
      <color rgb="FF000000"/>
      <name val="Calibri"/>
      <family val="2"/>
    </font>
    <font>
      <sz val="11"/>
      <color rgb="FF000000"/>
      <name val="Calibri"/>
      <family val="0"/>
      <charset val="1"/>
    </font>
    <font>
      <b val="true"/>
      <u val="single"/>
      <sz val="11"/>
      <color rgb="FF000000"/>
      <name val="Calibri"/>
      <family val="2"/>
      <charset val="1"/>
    </font>
    <font>
      <b val="true"/>
      <sz val="11"/>
      <color rgb="FF000000"/>
      <name val="Calibri"/>
      <family val="2"/>
      <charset val="1"/>
    </font>
    <font>
      <sz val="11"/>
      <color rgb="FFFF0000"/>
      <name val="Calibri"/>
      <family val="2"/>
      <charset val="1"/>
    </font>
  </fonts>
  <fills count="2">
    <fill>
      <patternFill patternType="none"/>
    </fill>
    <fill>
      <patternFill patternType="gray125"/>
    </fill>
  </fills>
  <borders count="2">
    <border diagonalUp="false" diagonalDown="false">
      <left/>
      <right/>
      <top/>
      <bottom/>
      <diagonal/>
    </border>
    <border diagonalUp="false" diagonalDown="false">
      <left style="thin">
        <color rgb="FFFF0000"/>
      </left>
      <right style="thin">
        <color rgb="FFFF0000"/>
      </right>
      <top style="thin">
        <color rgb="FFFF0000"/>
      </top>
      <bottom style="thin">
        <color rgb="FFFF0000"/>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8">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1" xfId="0" applyFont="false" applyBorder="tru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general" vertical="bottom" textRotation="0" wrapText="false" indent="0" shrinkToFit="false"/>
      <protection locked="true" hidden="false"/>
    </xf>
    <xf numFmtId="165" fontId="6" fillId="0" borderId="0" xfId="0" applyFont="true" applyBorder="false" applyAlignment="true" applyProtection="true">
      <alignment horizontal="general" vertical="bottom" textRotation="0" wrapText="false" indent="0" shrinkToFit="false"/>
      <protection locked="true" hidden="false"/>
    </xf>
    <xf numFmtId="164" fontId="11" fillId="0" borderId="0" xfId="0" applyFont="true" applyBorder="false" applyAlignment="true" applyProtection="true">
      <alignment horizontal="general" vertical="bottom" textRotation="0" wrapText="true" indent="0" shrinkToFit="false"/>
      <protection locked="true" hidden="false"/>
    </xf>
    <xf numFmtId="164" fontId="12" fillId="0" borderId="0" xfId="0" applyFont="true" applyBorder="false" applyAlignment="true" applyProtection="true">
      <alignment horizontal="general" vertical="bottom" textRotation="0" wrapText="true" indent="0" shrinkToFit="false"/>
      <protection locked="true" hidden="false"/>
    </xf>
    <xf numFmtId="164" fontId="11" fillId="0" borderId="0" xfId="0" applyFont="true" applyBorder="false" applyAlignment="true" applyProtection="tru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78787"/>
      <rgbColor rgb="FF9999FF"/>
      <rgbColor rgb="FFBE4B48"/>
      <rgbColor rgb="FFFFFFCC"/>
      <rgbColor rgb="FFCCFFFF"/>
      <rgbColor rgb="FF660066"/>
      <rgbColor rgb="FFFF8080"/>
      <rgbColor rgb="FF0070C0"/>
      <rgbColor rgb="FFD9D9D9"/>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8B855"/>
      <rgbColor rgb="FFFFC000"/>
      <rgbColor rgb="FFFF9900"/>
      <rgbColor rgb="FFFF6600"/>
      <rgbColor rgb="FF4A7EBB"/>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sharedStrings" Target="sharedStrings.xml"/>
</Relationships>
</file>

<file path=xl/charts/chart16.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lang="en-US" sz="1800" spc="-1" strike="noStrike">
                <a:solidFill>
                  <a:srgbClr val="000000"/>
                </a:solidFill>
                <a:latin typeface="Calibri"/>
              </a:defRPr>
            </a:pPr>
            <a:r>
              <a:rPr b="1" lang="en-US" sz="1800" spc="-1" strike="noStrike">
                <a:solidFill>
                  <a:srgbClr val="000000"/>
                </a:solidFill>
                <a:latin typeface="Calibri"/>
              </a:rPr>
              <a:t>R/T</a:t>
            </a:r>
          </a:p>
        </c:rich>
      </c:tx>
      <c:overlay val="0"/>
      <c:spPr>
        <a:noFill/>
        <a:ln w="0">
          <a:noFill/>
        </a:ln>
      </c:spPr>
    </c:title>
    <c:autoTitleDeleted val="0"/>
    <c:plotArea>
      <c:scatterChart>
        <c:scatterStyle val="lineMarker"/>
        <c:varyColors val="0"/>
        <c:ser>
          <c:idx val="0"/>
          <c:order val="0"/>
          <c:tx>
            <c:strRef>
              <c:f>'1 ThermistorTableConversion'!$B$7</c:f>
              <c:strCache>
                <c:ptCount val="1"/>
                <c:pt idx="0">
                  <c:v>R (kOhm)</c:v>
                </c:pt>
              </c:strCache>
            </c:strRef>
          </c:tx>
          <c:spPr>
            <a:solidFill>
              <a:srgbClr val="4a7ebb"/>
            </a:solidFill>
            <a:ln w="28440">
              <a:solidFill>
                <a:srgbClr val="4a7ebb"/>
              </a:solidFill>
              <a:round/>
            </a:ln>
          </c:spPr>
          <c:dLbls>
            <c:txPr>
              <a:bodyPr wrap="square"/>
              <a:lstStyle/>
              <a:p>
                <a:pPr>
                  <a:defRPr b="0" sz="1000" spc="-1" strike="noStrike">
                    <a:solidFill>
                      <a:srgbClr val="000000"/>
                    </a:solidFill>
                    <a:latin typeface="Calibri"/>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'1 ThermistorTableConversion'!$A$8:$A$68</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xVal>
          <c:yVal>
            <c:numRef>
              <c:f>'1 ThermistorTableConversion'!$B$8:$B$68</c:f>
              <c:numCache>
                <c:formatCode>General</c:formatCode>
                <c:ptCount val="61"/>
                <c:pt idx="0">
                  <c:v>324.32</c:v>
                </c:pt>
                <c:pt idx="1">
                  <c:v>252.7</c:v>
                </c:pt>
                <c:pt idx="2">
                  <c:v>198.37</c:v>
                </c:pt>
                <c:pt idx="3">
                  <c:v>156.84</c:v>
                </c:pt>
                <c:pt idx="4">
                  <c:v>124.83</c:v>
                </c:pt>
                <c:pt idx="5">
                  <c:v>100</c:v>
                </c:pt>
                <c:pt idx="6">
                  <c:v>80.63</c:v>
                </c:pt>
                <c:pt idx="7">
                  <c:v>65.39</c:v>
                </c:pt>
                <c:pt idx="8">
                  <c:v>53.31</c:v>
                </c:pt>
                <c:pt idx="9">
                  <c:v>43.69</c:v>
                </c:pt>
                <c:pt idx="10">
                  <c:v>35.98</c:v>
                </c:pt>
                <c:pt idx="11">
                  <c:v>29.78</c:v>
                </c:pt>
                <c:pt idx="12">
                  <c:v>24.75</c:v>
                </c:pt>
                <c:pt idx="13">
                  <c:v>20.66</c:v>
                </c:pt>
                <c:pt idx="14">
                  <c:v>17.32</c:v>
                </c:pt>
                <c:pt idx="15">
                  <c:v>14.57</c:v>
                </c:pt>
                <c:pt idx="16">
                  <c:v>12.31</c:v>
                </c:pt>
                <c:pt idx="17">
                  <c:v>10.43</c:v>
                </c:pt>
                <c:pt idx="18">
                  <c:v>8.86</c:v>
                </c:pt>
                <c:pt idx="19">
                  <c:v>7.55</c:v>
                </c:pt>
                <c:pt idx="20">
                  <c:v>6.45</c:v>
                </c:pt>
                <c:pt idx="21">
                  <c:v>5.53</c:v>
                </c:pt>
                <c:pt idx="22">
                  <c:v>4.751</c:v>
                </c:pt>
                <c:pt idx="23">
                  <c:v>4.0931</c:v>
                </c:pt>
                <c:pt idx="24">
                  <c:v>3.5348</c:v>
                </c:pt>
                <c:pt idx="25">
                  <c:v>3.0602</c:v>
                </c:pt>
                <c:pt idx="26">
                  <c:v>2.6554</c:v>
                </c:pt>
                <c:pt idx="27">
                  <c:v>2.3095</c:v>
                </c:pt>
                <c:pt idx="28">
                  <c:v>2.013</c:v>
                </c:pt>
                <c:pt idx="29">
                  <c:v>1.7582</c:v>
                </c:pt>
                <c:pt idx="30">
                  <c:v>1.5388</c:v>
                </c:pt>
                <c:pt idx="31">
                  <c:v>1.3568</c:v>
                </c:pt>
                <c:pt idx="32">
                  <c:v>1.1989</c:v>
                </c:pt>
                <c:pt idx="33">
                  <c:v>1.0617</c:v>
                </c:pt>
                <c:pt idx="34">
                  <c:v>0.942</c:v>
                </c:pt>
                <c:pt idx="35">
                  <c:v>0.8374</c:v>
                </c:pt>
                <c:pt idx="36">
                  <c:v>0.7459</c:v>
                </c:pt>
                <c:pt idx="37">
                  <c:v>0.6657</c:v>
                </c:pt>
                <c:pt idx="38">
                  <c:v>0.5951</c:v>
                </c:pt>
                <c:pt idx="39">
                  <c:v>0.5329</c:v>
                </c:pt>
                <c:pt idx="40">
                  <c:v>0.478</c:v>
                </c:pt>
                <c:pt idx="41">
                  <c:v>0.4294</c:v>
                </c:pt>
                <c:pt idx="42">
                  <c:v>0.3864</c:v>
                </c:pt>
                <c:pt idx="43">
                  <c:v>0.3483</c:v>
                </c:pt>
                <c:pt idx="44">
                  <c:v>0.3142</c:v>
                </c:pt>
                <c:pt idx="45">
                  <c:v>0.284</c:v>
                </c:pt>
                <c:pt idx="46">
                  <c:v>0.2571</c:v>
                </c:pt>
                <c:pt idx="47">
                  <c:v>0.233</c:v>
                </c:pt>
                <c:pt idx="48">
                  <c:v>0.2115</c:v>
                </c:pt>
                <c:pt idx="49">
                  <c:v>0.1921</c:v>
                </c:pt>
                <c:pt idx="50">
                  <c:v>0.1747</c:v>
                </c:pt>
                <c:pt idx="51">
                  <c:v>0.1592</c:v>
                </c:pt>
                <c:pt idx="52">
                  <c:v>0.1451</c:v>
                </c:pt>
                <c:pt idx="53">
                  <c:v>0.1325</c:v>
                </c:pt>
                <c:pt idx="54">
                  <c:v>0.121</c:v>
                </c:pt>
                <c:pt idx="55">
                  <c:v>0.1108</c:v>
                </c:pt>
                <c:pt idx="56">
                  <c:v>0.1014</c:v>
                </c:pt>
                <c:pt idx="57">
                  <c:v>0.093</c:v>
                </c:pt>
                <c:pt idx="58">
                  <c:v>0.0853</c:v>
                </c:pt>
                <c:pt idx="59">
                  <c:v>0.0783</c:v>
                </c:pt>
                <c:pt idx="60">
                  <c:v>0.072</c:v>
                </c:pt>
              </c:numCache>
            </c:numRef>
          </c:yVal>
          <c:smooth val="1"/>
        </c:ser>
        <c:axId val="89415707"/>
        <c:axId val="4995726"/>
      </c:scatterChart>
      <c:valAx>
        <c:axId val="89415707"/>
        <c:scaling>
          <c:orientation val="minMax"/>
        </c:scaling>
        <c:delete val="0"/>
        <c:axPos val="b"/>
        <c:title>
          <c:tx>
            <c:rich>
              <a:bodyPr rot="0"/>
              <a:lstStyle/>
              <a:p>
                <a:pPr>
                  <a:defRPr b="1" lang="en-AU" sz="1000" spc="-1" strike="noStrike">
                    <a:solidFill>
                      <a:srgbClr val="000000"/>
                    </a:solidFill>
                    <a:latin typeface="Calibri"/>
                  </a:defRPr>
                </a:pPr>
                <a:r>
                  <a:rPr b="1" lang="en-AU" sz="1000" spc="-1" strike="noStrike">
                    <a:solidFill>
                      <a:srgbClr val="000000"/>
                    </a:solidFill>
                    <a:latin typeface="Calibri"/>
                  </a:rPr>
                  <a:t>T (°C)</a:t>
                </a:r>
              </a:p>
            </c:rich>
          </c:tx>
          <c:overlay val="0"/>
          <c:spPr>
            <a:noFill/>
            <a:ln w="0">
              <a:noFill/>
            </a:ln>
          </c:spPr>
        </c:title>
        <c:numFmt formatCode="General" sourceLinked="0"/>
        <c:majorTickMark val="none"/>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4995726"/>
        <c:crosses val="autoZero"/>
        <c:crossBetween val="midCat"/>
      </c:valAx>
      <c:valAx>
        <c:axId val="4995726"/>
        <c:scaling>
          <c:logBase val="10"/>
          <c:orientation val="minMax"/>
        </c:scaling>
        <c:delete val="0"/>
        <c:axPos val="l"/>
        <c:majorGridlines>
          <c:spPr>
            <a:ln w="9360">
              <a:solidFill>
                <a:srgbClr val="878787"/>
              </a:solidFill>
              <a:round/>
            </a:ln>
          </c:spPr>
        </c:majorGridlines>
        <c:title>
          <c:tx>
            <c:rich>
              <a:bodyPr rot="-5400000"/>
              <a:lstStyle/>
              <a:p>
                <a:pPr>
                  <a:defRPr b="1" lang="en-AU" sz="1000" spc="-1" strike="noStrike">
                    <a:solidFill>
                      <a:srgbClr val="000000"/>
                    </a:solidFill>
                    <a:latin typeface="Calibri"/>
                  </a:defRPr>
                </a:pPr>
                <a:r>
                  <a:rPr b="1" lang="en-AU" sz="1000" spc="-1" strike="noStrike">
                    <a:solidFill>
                      <a:srgbClr val="000000"/>
                    </a:solidFill>
                    <a:latin typeface="Calibri"/>
                  </a:rPr>
                  <a:t>R (Ohms)</a:t>
                </a:r>
              </a:p>
            </c:rich>
          </c:tx>
          <c:overlay val="0"/>
          <c:spPr>
            <a:noFill/>
            <a:ln w="0">
              <a:noFill/>
            </a:ln>
          </c:spPr>
        </c:title>
        <c:numFmt formatCode="General" sourceLinked="0"/>
        <c:majorTickMark val="none"/>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89415707"/>
        <c:crosses val="autoZero"/>
        <c:crossBetween val="midCat"/>
      </c:valAx>
      <c:spPr>
        <a:noFill/>
        <a:ln w="0">
          <a:noFill/>
        </a:ln>
      </c:spPr>
    </c:plotArea>
    <c:legend>
      <c:legendPos val="r"/>
      <c:overlay val="0"/>
      <c:spPr>
        <a:noFill/>
        <a:ln w="0">
          <a:noFill/>
        </a:ln>
      </c:spPr>
      <c:txPr>
        <a:bodyPr/>
        <a:lstStyle/>
        <a:p>
          <a:pPr>
            <a:defRPr b="0" sz="1000" spc="-1" strike="noStrike">
              <a:solidFill>
                <a:srgbClr val="000000"/>
              </a:solidFill>
              <a:latin typeface="Calibri"/>
            </a:defRPr>
          </a:pPr>
        </a:p>
      </c:txPr>
    </c:legend>
    <c:plotVisOnly val="1"/>
    <c:dispBlanksAs val="gap"/>
  </c:chart>
  <c:spPr>
    <a:solidFill>
      <a:srgbClr val="ffffff"/>
    </a:solidFill>
    <a:ln w="9360">
      <a:solidFill>
        <a:srgbClr val="d9d9d9"/>
      </a:solidFill>
      <a:round/>
    </a:ln>
  </c:spPr>
</c:chartSpace>
</file>

<file path=xl/charts/chart17.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defRPr>
            </a:pPr>
            <a:r>
              <a:rPr b="1" sz="1800" spc="-1" strike="noStrike">
                <a:solidFill>
                  <a:srgbClr val="000000"/>
                </a:solidFill>
                <a:latin typeface="Calibri"/>
              </a:rPr>
              <a:t>RT/R25</a:t>
            </a:r>
          </a:p>
        </c:rich>
      </c:tx>
      <c:overlay val="0"/>
      <c:spPr>
        <a:noFill/>
        <a:ln w="0">
          <a:noFill/>
        </a:ln>
      </c:spPr>
    </c:title>
    <c:autoTitleDeleted val="0"/>
    <c:plotArea>
      <c:scatterChart>
        <c:scatterStyle val="lineMarker"/>
        <c:varyColors val="0"/>
        <c:ser>
          <c:idx val="0"/>
          <c:order val="0"/>
          <c:tx>
            <c:strRef>
              <c:f>'1 ThermistorTableConversion'!$K$7</c:f>
              <c:strCache>
                <c:ptCount val="1"/>
                <c:pt idx="0">
                  <c:v>RT/R25</c:v>
                </c:pt>
              </c:strCache>
            </c:strRef>
          </c:tx>
          <c:spPr>
            <a:solidFill>
              <a:srgbClr val="4a7ebb"/>
            </a:solidFill>
            <a:ln w="28440">
              <a:solidFill>
                <a:srgbClr val="4a7ebb"/>
              </a:solidFill>
              <a:round/>
            </a:ln>
          </c:spPr>
          <c:dLbls>
            <c:txPr>
              <a:bodyPr wrap="square"/>
              <a:lstStyle/>
              <a:p>
                <a:pPr>
                  <a:defRPr b="0" sz="1000" spc="-1" strike="noStrike">
                    <a:solidFill>
                      <a:srgbClr val="000000"/>
                    </a:solidFill>
                    <a:latin typeface="Calibri"/>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'1 ThermistorTableConversion'!$J$8:$J$68</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xVal>
          <c:yVal>
            <c:numRef>
              <c:f>'1 ThermistorTableConversion'!$K$8:$K$68</c:f>
              <c:numCache>
                <c:formatCode>General</c:formatCode>
                <c:ptCount val="61"/>
                <c:pt idx="0">
                  <c:v>3.2432</c:v>
                </c:pt>
                <c:pt idx="1">
                  <c:v>2.527</c:v>
                </c:pt>
                <c:pt idx="2">
                  <c:v>1.9837</c:v>
                </c:pt>
                <c:pt idx="3">
                  <c:v>1.5684</c:v>
                </c:pt>
                <c:pt idx="4">
                  <c:v>1.2483</c:v>
                </c:pt>
                <c:pt idx="5">
                  <c:v>1</c:v>
                </c:pt>
                <c:pt idx="6">
                  <c:v>0.8063</c:v>
                </c:pt>
                <c:pt idx="7">
                  <c:v>0.6539</c:v>
                </c:pt>
                <c:pt idx="8">
                  <c:v>0.5331</c:v>
                </c:pt>
                <c:pt idx="9">
                  <c:v>0.4369</c:v>
                </c:pt>
                <c:pt idx="10">
                  <c:v>0.3598</c:v>
                </c:pt>
                <c:pt idx="11">
                  <c:v>0.2978</c:v>
                </c:pt>
                <c:pt idx="12">
                  <c:v>0.2475</c:v>
                </c:pt>
                <c:pt idx="13">
                  <c:v>0.2066</c:v>
                </c:pt>
                <c:pt idx="14">
                  <c:v>0.1732</c:v>
                </c:pt>
                <c:pt idx="15">
                  <c:v>0.1457</c:v>
                </c:pt>
                <c:pt idx="16">
                  <c:v>0.1231</c:v>
                </c:pt>
                <c:pt idx="17">
                  <c:v>0.1043</c:v>
                </c:pt>
                <c:pt idx="18">
                  <c:v>0.0886</c:v>
                </c:pt>
                <c:pt idx="19">
                  <c:v>0.0755</c:v>
                </c:pt>
                <c:pt idx="20">
                  <c:v>0.0645</c:v>
                </c:pt>
                <c:pt idx="21">
                  <c:v>0.0553</c:v>
                </c:pt>
                <c:pt idx="22">
                  <c:v>0.04751</c:v>
                </c:pt>
                <c:pt idx="23">
                  <c:v>0.040931</c:v>
                </c:pt>
                <c:pt idx="24">
                  <c:v>0.035348</c:v>
                </c:pt>
                <c:pt idx="25">
                  <c:v>0.030602</c:v>
                </c:pt>
                <c:pt idx="26">
                  <c:v>0.026554</c:v>
                </c:pt>
                <c:pt idx="27">
                  <c:v>0.023095</c:v>
                </c:pt>
                <c:pt idx="28">
                  <c:v>0.02013</c:v>
                </c:pt>
                <c:pt idx="29">
                  <c:v>0.017582</c:v>
                </c:pt>
                <c:pt idx="30">
                  <c:v>0.015388</c:v>
                </c:pt>
                <c:pt idx="31">
                  <c:v>0.013568</c:v>
                </c:pt>
                <c:pt idx="32">
                  <c:v>0.011989</c:v>
                </c:pt>
                <c:pt idx="33">
                  <c:v>0.010617</c:v>
                </c:pt>
                <c:pt idx="34">
                  <c:v>0.00942</c:v>
                </c:pt>
                <c:pt idx="35">
                  <c:v>0.008374</c:v>
                </c:pt>
                <c:pt idx="36">
                  <c:v>0.007459</c:v>
                </c:pt>
                <c:pt idx="37">
                  <c:v>0.006657</c:v>
                </c:pt>
                <c:pt idx="38">
                  <c:v>0.005951</c:v>
                </c:pt>
                <c:pt idx="39">
                  <c:v>0.005329</c:v>
                </c:pt>
                <c:pt idx="40">
                  <c:v>0.00478</c:v>
                </c:pt>
                <c:pt idx="41">
                  <c:v>0.004294</c:v>
                </c:pt>
                <c:pt idx="42">
                  <c:v>0.003864</c:v>
                </c:pt>
                <c:pt idx="43">
                  <c:v>0.003483</c:v>
                </c:pt>
                <c:pt idx="44">
                  <c:v>0.003142</c:v>
                </c:pt>
                <c:pt idx="45">
                  <c:v>0.00284</c:v>
                </c:pt>
                <c:pt idx="46">
                  <c:v>0.002571</c:v>
                </c:pt>
                <c:pt idx="47">
                  <c:v>0.00233</c:v>
                </c:pt>
                <c:pt idx="48">
                  <c:v>0.002115</c:v>
                </c:pt>
                <c:pt idx="49">
                  <c:v>0.001921</c:v>
                </c:pt>
                <c:pt idx="50">
                  <c:v>0.001747</c:v>
                </c:pt>
                <c:pt idx="51">
                  <c:v>0.001592</c:v>
                </c:pt>
                <c:pt idx="52">
                  <c:v>0.001451</c:v>
                </c:pt>
                <c:pt idx="53">
                  <c:v>0.001325</c:v>
                </c:pt>
                <c:pt idx="54">
                  <c:v>0.00121</c:v>
                </c:pt>
                <c:pt idx="55">
                  <c:v>0.001108</c:v>
                </c:pt>
                <c:pt idx="56">
                  <c:v>0.001014</c:v>
                </c:pt>
                <c:pt idx="57">
                  <c:v>0.00093</c:v>
                </c:pt>
                <c:pt idx="58">
                  <c:v>0.000853</c:v>
                </c:pt>
                <c:pt idx="59">
                  <c:v>0.000783</c:v>
                </c:pt>
                <c:pt idx="60">
                  <c:v>0.00072</c:v>
                </c:pt>
              </c:numCache>
            </c:numRef>
          </c:yVal>
          <c:smooth val="1"/>
        </c:ser>
        <c:axId val="46834142"/>
        <c:axId val="39128973"/>
      </c:scatterChart>
      <c:valAx>
        <c:axId val="46834142"/>
        <c:scaling>
          <c:orientation val="minMax"/>
        </c:scaling>
        <c:delete val="0"/>
        <c:axPos val="b"/>
        <c:title>
          <c:tx>
            <c:rich>
              <a:bodyPr rot="0"/>
              <a:lstStyle/>
              <a:p>
                <a:pPr>
                  <a:defRPr b="1" lang="en-AU" sz="1000" spc="-1" strike="noStrike">
                    <a:solidFill>
                      <a:srgbClr val="000000"/>
                    </a:solidFill>
                    <a:latin typeface="Calibri"/>
                  </a:defRPr>
                </a:pPr>
                <a:r>
                  <a:rPr b="1" lang="en-AU" sz="1000" spc="-1" strike="noStrike">
                    <a:solidFill>
                      <a:srgbClr val="000000"/>
                    </a:solidFill>
                    <a:latin typeface="Calibri"/>
                  </a:rPr>
                  <a:t>T (°C)</a:t>
                </a:r>
              </a:p>
            </c:rich>
          </c:tx>
          <c:overlay val="0"/>
          <c:spPr>
            <a:noFill/>
            <a:ln w="0">
              <a:noFill/>
            </a:ln>
          </c:spPr>
        </c:title>
        <c:numFmt formatCode="General" sourceLinked="0"/>
        <c:majorTickMark val="none"/>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39128973"/>
        <c:crosses val="autoZero"/>
        <c:crossBetween val="midCat"/>
      </c:valAx>
      <c:valAx>
        <c:axId val="39128973"/>
        <c:scaling>
          <c:logBase val="10"/>
          <c:orientation val="minMax"/>
        </c:scaling>
        <c:delete val="0"/>
        <c:axPos val="l"/>
        <c:majorGridlines>
          <c:spPr>
            <a:ln w="9360">
              <a:solidFill>
                <a:srgbClr val="878787"/>
              </a:solidFill>
              <a:round/>
            </a:ln>
          </c:spPr>
        </c:majorGridlines>
        <c:title>
          <c:tx>
            <c:rich>
              <a:bodyPr rot="-5400000"/>
              <a:lstStyle/>
              <a:p>
                <a:pPr>
                  <a:defRPr b="1" lang="en-AU" sz="1000" spc="-1" strike="noStrike">
                    <a:solidFill>
                      <a:srgbClr val="000000"/>
                    </a:solidFill>
                    <a:latin typeface="Calibri"/>
                  </a:defRPr>
                </a:pPr>
                <a:r>
                  <a:rPr b="1" lang="en-AU" sz="1000" spc="-1" strike="noStrike">
                    <a:solidFill>
                      <a:srgbClr val="000000"/>
                    </a:solidFill>
                    <a:latin typeface="Calibri"/>
                  </a:rPr>
                  <a:t>RT/R25</a:t>
                </a:r>
              </a:p>
            </c:rich>
          </c:tx>
          <c:overlay val="0"/>
          <c:spPr>
            <a:noFill/>
            <a:ln w="0">
              <a:noFill/>
            </a:ln>
          </c:spPr>
        </c:title>
        <c:numFmt formatCode="General" sourceLinked="0"/>
        <c:majorTickMark val="none"/>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46834142"/>
        <c:crosses val="autoZero"/>
        <c:crossBetween val="midCat"/>
      </c:valAx>
      <c:spPr>
        <a:noFill/>
        <a:ln w="0">
          <a:noFill/>
        </a:ln>
      </c:spPr>
    </c:plotArea>
    <c:legend>
      <c:legendPos val="r"/>
      <c:overlay val="0"/>
      <c:spPr>
        <a:noFill/>
        <a:ln w="0">
          <a:noFill/>
        </a:ln>
      </c:spPr>
      <c:txPr>
        <a:bodyPr/>
        <a:lstStyle/>
        <a:p>
          <a:pPr>
            <a:defRPr b="0" sz="1000" spc="-1" strike="noStrike">
              <a:solidFill>
                <a:srgbClr val="000000"/>
              </a:solidFill>
              <a:latin typeface="Calibri"/>
            </a:defRPr>
          </a:pPr>
        </a:p>
      </c:txPr>
    </c:legend>
    <c:plotVisOnly val="1"/>
    <c:dispBlanksAs val="gap"/>
  </c:chart>
  <c:spPr>
    <a:solidFill>
      <a:srgbClr val="ffffff"/>
    </a:solidFill>
    <a:ln w="9360">
      <a:solidFill>
        <a:srgbClr val="d9d9d9"/>
      </a:solidFill>
      <a:round/>
    </a:ln>
  </c:spPr>
</c:chartSpace>
</file>

<file path=xl/charts/chart18.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lang="en-US" sz="1800" spc="-1" strike="noStrike">
                <a:solidFill>
                  <a:srgbClr val="000000"/>
                </a:solidFill>
                <a:latin typeface="Calibri"/>
              </a:defRPr>
            </a:pPr>
            <a:r>
              <a:rPr b="1" lang="en-US" sz="1800" spc="-1" strike="noStrike">
                <a:solidFill>
                  <a:srgbClr val="000000"/>
                </a:solidFill>
                <a:latin typeface="Calibri"/>
              </a:rPr>
              <a:t>V/T</a:t>
            </a:r>
          </a:p>
        </c:rich>
      </c:tx>
      <c:overlay val="0"/>
      <c:spPr>
        <a:noFill/>
        <a:ln w="0">
          <a:noFill/>
        </a:ln>
      </c:spPr>
    </c:title>
    <c:autoTitleDeleted val="0"/>
    <c:plotArea>
      <c:scatterChart>
        <c:scatterStyle val="lineMarker"/>
        <c:varyColors val="0"/>
        <c:ser>
          <c:idx val="0"/>
          <c:order val="0"/>
          <c:tx>
            <c:strRef>
              <c:f>'1 ThermistorTableConversion'!$C$7</c:f>
              <c:strCache>
                <c:ptCount val="1"/>
                <c:pt idx="0">
                  <c:v>V DC</c:v>
                </c:pt>
              </c:strCache>
            </c:strRef>
          </c:tx>
          <c:spPr>
            <a:solidFill>
              <a:srgbClr val="4a7ebb"/>
            </a:solidFill>
            <a:ln w="28440">
              <a:solidFill>
                <a:srgbClr val="4a7ebb"/>
              </a:solidFill>
              <a:round/>
            </a:ln>
          </c:spPr>
          <c:dLbls>
            <c:txPr>
              <a:bodyPr wrap="square"/>
              <a:lstStyle/>
              <a:p>
                <a:pPr>
                  <a:defRPr b="0" sz="1000" spc="-1" strike="noStrike">
                    <a:solidFill>
                      <a:srgbClr val="000000"/>
                    </a:solidFill>
                    <a:latin typeface="Calibri"/>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'1 ThermistorTableConversion'!$A$8:$A$68</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xVal>
          <c:yVal>
            <c:numRef>
              <c:f>'1 ThermistorTableConversion'!$C$8:$C$68</c:f>
              <c:numCache>
                <c:formatCode>General</c:formatCode>
                <c:ptCount val="61"/>
                <c:pt idx="0">
                  <c:v>4.93262357414449</c:v>
                </c:pt>
                <c:pt idx="1">
                  <c:v>4.91385680395131</c:v>
                </c:pt>
                <c:pt idx="2">
                  <c:v>4.89077909270217</c:v>
                </c:pt>
                <c:pt idx="3">
                  <c:v>4.86265269423947</c:v>
                </c:pt>
                <c:pt idx="4">
                  <c:v>4.82863995048739</c:v>
                </c:pt>
                <c:pt idx="5">
                  <c:v>4.78789619841042</c:v>
                </c:pt>
                <c:pt idx="6">
                  <c:v>4.73959557959088</c:v>
                </c:pt>
                <c:pt idx="7">
                  <c:v>4.68275565740476</c:v>
                </c:pt>
                <c:pt idx="8">
                  <c:v>4.61638378940076</c:v>
                </c:pt>
                <c:pt idx="9">
                  <c:v>4.53969243557772</c:v>
                </c:pt>
                <c:pt idx="10">
                  <c:v>4.45186834941846</c:v>
                </c:pt>
                <c:pt idx="11">
                  <c:v>4.35252850043847</c:v>
                </c:pt>
                <c:pt idx="12">
                  <c:v>4.24091843728581</c:v>
                </c:pt>
                <c:pt idx="13">
                  <c:v>4.11717815862894</c:v>
                </c:pt>
                <c:pt idx="14">
                  <c:v>3.9816091954023</c:v>
                </c:pt>
                <c:pt idx="15">
                  <c:v>3.83421052631579</c:v>
                </c:pt>
                <c:pt idx="16">
                  <c:v>3.6768219832736</c:v>
                </c:pt>
                <c:pt idx="17">
                  <c:v>3.50942126514132</c:v>
                </c:pt>
                <c:pt idx="18">
                  <c:v>3.33333333333333</c:v>
                </c:pt>
                <c:pt idx="19">
                  <c:v>3.15108514190317</c:v>
                </c:pt>
                <c:pt idx="20">
                  <c:v>2.96415441176471</c:v>
                </c:pt>
                <c:pt idx="21">
                  <c:v>2.77610441767068</c:v>
                </c:pt>
                <c:pt idx="22">
                  <c:v>2.58740877900011</c:v>
                </c:pt>
                <c:pt idx="23">
                  <c:v>2.40118032171393</c:v>
                </c:pt>
                <c:pt idx="24">
                  <c:v>2.21901366010446</c:v>
                </c:pt>
                <c:pt idx="25">
                  <c:v>2.04280259539131</c:v>
                </c:pt>
                <c:pt idx="26">
                  <c:v>1.87385327575013</c:v>
                </c:pt>
                <c:pt idx="27">
                  <c:v>1.71340603902367</c:v>
                </c:pt>
                <c:pt idx="28">
                  <c:v>1.56216048424647</c:v>
                </c:pt>
                <c:pt idx="29">
                  <c:v>1.42060696163666</c:v>
                </c:pt>
                <c:pt idx="30">
                  <c:v>1.28903632220882</c:v>
                </c:pt>
                <c:pt idx="31">
                  <c:v>1.17232321835902</c:v>
                </c:pt>
                <c:pt idx="32">
                  <c:v>1.06495052319281</c:v>
                </c:pt>
                <c:pt idx="33">
                  <c:v>0.966640566673344</c:v>
                </c:pt>
                <c:pt idx="34">
                  <c:v>0.876768428890544</c:v>
                </c:pt>
                <c:pt idx="35">
                  <c:v>0.794889319208718</c:v>
                </c:pt>
                <c:pt idx="36">
                  <c:v>0.720551015282366</c:v>
                </c:pt>
                <c:pt idx="37">
                  <c:v>0.653197794218655</c:v>
                </c:pt>
                <c:pt idx="38">
                  <c:v>0.592127519850351</c:v>
                </c:pt>
                <c:pt idx="39">
                  <c:v>0.536883676882468</c:v>
                </c:pt>
                <c:pt idx="40">
                  <c:v>0.486960065199674</c:v>
                </c:pt>
                <c:pt idx="41">
                  <c:v>0.441824093509487</c:v>
                </c:pt>
                <c:pt idx="42">
                  <c:v>0.401129474296155</c:v>
                </c:pt>
                <c:pt idx="43">
                  <c:v>0.364460163656531</c:v>
                </c:pt>
                <c:pt idx="44">
                  <c:v>0.331141182918089</c:v>
                </c:pt>
                <c:pt idx="45">
                  <c:v>0.301230377598642</c:v>
                </c:pt>
                <c:pt idx="46">
                  <c:v>0.274263403810458</c:v>
                </c:pt>
                <c:pt idx="47">
                  <c:v>0.249839159339481</c:v>
                </c:pt>
                <c:pt idx="48">
                  <c:v>0.227835828934612</c:v>
                </c:pt>
                <c:pt idx="49">
                  <c:v>0.207805975638779</c:v>
                </c:pt>
                <c:pt idx="50">
                  <c:v>0.189697483006493</c:v>
                </c:pt>
                <c:pt idx="51">
                  <c:v>0.173450710363462</c:v>
                </c:pt>
                <c:pt idx="52">
                  <c:v>0.158575768835654</c:v>
                </c:pt>
                <c:pt idx="53">
                  <c:v>0.145205479452055</c:v>
                </c:pt>
                <c:pt idx="54">
                  <c:v>0.132937815864645</c:v>
                </c:pt>
                <c:pt idx="55">
                  <c:v>0.122004933051445</c:v>
                </c:pt>
                <c:pt idx="56">
                  <c:v>0.11188595136161</c:v>
                </c:pt>
                <c:pt idx="57">
                  <c:v>0.102807870882158</c:v>
                </c:pt>
                <c:pt idx="58">
                  <c:v>0.0944566252519213</c:v>
                </c:pt>
                <c:pt idx="59">
                  <c:v>0.0868398287602866</c:v>
                </c:pt>
                <c:pt idx="60">
                  <c:v>0.0799644602398934</c:v>
                </c:pt>
              </c:numCache>
            </c:numRef>
          </c:yVal>
          <c:smooth val="1"/>
        </c:ser>
        <c:axId val="88310206"/>
        <c:axId val="82284503"/>
      </c:scatterChart>
      <c:valAx>
        <c:axId val="88310206"/>
        <c:scaling>
          <c:orientation val="minMax"/>
        </c:scaling>
        <c:delete val="0"/>
        <c:axPos val="b"/>
        <c:title>
          <c:tx>
            <c:rich>
              <a:bodyPr rot="0"/>
              <a:lstStyle/>
              <a:p>
                <a:pPr>
                  <a:defRPr b="1" lang="en-AU" sz="1000" spc="-1" strike="noStrike">
                    <a:solidFill>
                      <a:srgbClr val="000000"/>
                    </a:solidFill>
                    <a:latin typeface="Calibri"/>
                  </a:defRPr>
                </a:pPr>
                <a:r>
                  <a:rPr b="1" lang="en-AU" sz="1000" spc="-1" strike="noStrike">
                    <a:solidFill>
                      <a:srgbClr val="000000"/>
                    </a:solidFill>
                    <a:latin typeface="Calibri"/>
                  </a:rPr>
                  <a:t>T (°C)</a:t>
                </a:r>
              </a:p>
            </c:rich>
          </c:tx>
          <c:overlay val="0"/>
          <c:spPr>
            <a:noFill/>
            <a:ln w="0">
              <a:noFill/>
            </a:ln>
          </c:spPr>
        </c:title>
        <c:numFmt formatCode="General" sourceLinked="0"/>
        <c:majorTickMark val="none"/>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82284503"/>
        <c:crosses val="autoZero"/>
        <c:crossBetween val="midCat"/>
      </c:valAx>
      <c:valAx>
        <c:axId val="82284503"/>
        <c:scaling>
          <c:orientation val="minMax"/>
        </c:scaling>
        <c:delete val="0"/>
        <c:axPos val="l"/>
        <c:majorGridlines>
          <c:spPr>
            <a:ln w="9360">
              <a:solidFill>
                <a:srgbClr val="878787"/>
              </a:solidFill>
              <a:round/>
            </a:ln>
          </c:spPr>
        </c:majorGridlines>
        <c:title>
          <c:tx>
            <c:rich>
              <a:bodyPr rot="-5400000"/>
              <a:lstStyle/>
              <a:p>
                <a:pPr>
                  <a:defRPr b="1" lang="en-AU" sz="1000" spc="-1" strike="noStrike">
                    <a:solidFill>
                      <a:srgbClr val="000000"/>
                    </a:solidFill>
                    <a:latin typeface="Calibri"/>
                  </a:defRPr>
                </a:pPr>
                <a:r>
                  <a:rPr b="1" lang="en-AU" sz="1000" spc="-1" strike="noStrike">
                    <a:solidFill>
                      <a:srgbClr val="000000"/>
                    </a:solidFill>
                    <a:latin typeface="Calibri"/>
                  </a:rPr>
                  <a:t>V_measured (V)</a:t>
                </a:r>
              </a:p>
            </c:rich>
          </c:tx>
          <c:overlay val="0"/>
          <c:spPr>
            <a:noFill/>
            <a:ln w="0">
              <a:noFill/>
            </a:ln>
          </c:spPr>
        </c:title>
        <c:numFmt formatCode="General" sourceLinked="0"/>
        <c:majorTickMark val="none"/>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88310206"/>
        <c:crosses val="autoZero"/>
        <c:crossBetween val="midCat"/>
      </c:valAx>
      <c:spPr>
        <a:noFill/>
        <a:ln w="0">
          <a:noFill/>
        </a:ln>
      </c:spPr>
    </c:plotArea>
    <c:legend>
      <c:legendPos val="r"/>
      <c:overlay val="0"/>
      <c:spPr>
        <a:noFill/>
        <a:ln w="0">
          <a:noFill/>
        </a:ln>
      </c:spPr>
      <c:txPr>
        <a:bodyPr/>
        <a:lstStyle/>
        <a:p>
          <a:pPr>
            <a:defRPr b="0" sz="1000" spc="-1" strike="noStrike">
              <a:solidFill>
                <a:srgbClr val="000000"/>
              </a:solidFill>
              <a:latin typeface="Calibri"/>
            </a:defRPr>
          </a:pPr>
        </a:p>
      </c:txPr>
    </c:legend>
    <c:plotVisOnly val="1"/>
    <c:dispBlanksAs val="gap"/>
  </c:chart>
  <c:spPr>
    <a:solidFill>
      <a:srgbClr val="ffffff"/>
    </a:solidFill>
    <a:ln w="9360">
      <a:solidFill>
        <a:srgbClr val="d9d9d9"/>
      </a:solidFill>
      <a:round/>
    </a:ln>
  </c:spPr>
</c:chartSpace>
</file>

<file path=xl/charts/chart19.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lang="en-AU" sz="1800" spc="-1" strike="noStrike">
                <a:solidFill>
                  <a:srgbClr val="000000"/>
                </a:solidFill>
                <a:latin typeface="Calibri"/>
              </a:defRPr>
            </a:pPr>
            <a:r>
              <a:rPr b="1" lang="en-AU" sz="1800" spc="-1" strike="noStrike">
                <a:solidFill>
                  <a:srgbClr val="000000"/>
                </a:solidFill>
                <a:latin typeface="Calibri"/>
              </a:rPr>
              <a:t>Comparison of Methods</a:t>
            </a:r>
          </a:p>
        </c:rich>
      </c:tx>
      <c:overlay val="0"/>
      <c:spPr>
        <a:noFill/>
        <a:ln w="0">
          <a:noFill/>
        </a:ln>
      </c:spPr>
    </c:title>
    <c:autoTitleDeleted val="0"/>
    <c:plotArea>
      <c:scatterChart>
        <c:scatterStyle val="line"/>
        <c:varyColors val="0"/>
        <c:ser>
          <c:idx val="0"/>
          <c:order val="0"/>
          <c:tx>
            <c:strRef>
              <c:f>"Thermistor Table"</c:f>
              <c:strCache>
                <c:ptCount val="1"/>
                <c:pt idx="0">
                  <c:v>Thermistor Table</c:v>
                </c:pt>
              </c:strCache>
            </c:strRef>
          </c:tx>
          <c:spPr>
            <a:solidFill>
              <a:srgbClr val="4a7ebb"/>
            </a:solidFill>
            <a:ln w="28440">
              <a:solidFill>
                <a:srgbClr val="4a7ebb"/>
              </a:solidFill>
              <a:round/>
            </a:ln>
          </c:spPr>
          <c:marker>
            <c:symbol val="none"/>
          </c:marker>
          <c:dLbls>
            <c:txPr>
              <a:bodyPr wrap="square"/>
              <a:lstStyle/>
              <a:p>
                <a:pPr>
                  <a:defRPr b="0" sz="1000" spc="-1" strike="noStrike">
                    <a:solidFill>
                      <a:srgbClr val="000000"/>
                    </a:solidFill>
                    <a:latin typeface="Calibri"/>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'1 ThermistorTableConversion'!$A$8:$A$68</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xVal>
          <c:yVal>
            <c:numRef>
              <c:f>'1 ThermistorTableConversion'!$B$8:$B$68</c:f>
              <c:numCache>
                <c:formatCode>General</c:formatCode>
                <c:ptCount val="61"/>
                <c:pt idx="0">
                  <c:v>324.32</c:v>
                </c:pt>
                <c:pt idx="1">
                  <c:v>252.7</c:v>
                </c:pt>
                <c:pt idx="2">
                  <c:v>198.37</c:v>
                </c:pt>
                <c:pt idx="3">
                  <c:v>156.84</c:v>
                </c:pt>
                <c:pt idx="4">
                  <c:v>124.83</c:v>
                </c:pt>
                <c:pt idx="5">
                  <c:v>100</c:v>
                </c:pt>
                <c:pt idx="6">
                  <c:v>80.63</c:v>
                </c:pt>
                <c:pt idx="7">
                  <c:v>65.39</c:v>
                </c:pt>
                <c:pt idx="8">
                  <c:v>53.31</c:v>
                </c:pt>
                <c:pt idx="9">
                  <c:v>43.69</c:v>
                </c:pt>
                <c:pt idx="10">
                  <c:v>35.98</c:v>
                </c:pt>
                <c:pt idx="11">
                  <c:v>29.78</c:v>
                </c:pt>
                <c:pt idx="12">
                  <c:v>24.75</c:v>
                </c:pt>
                <c:pt idx="13">
                  <c:v>20.66</c:v>
                </c:pt>
                <c:pt idx="14">
                  <c:v>17.32</c:v>
                </c:pt>
                <c:pt idx="15">
                  <c:v>14.57</c:v>
                </c:pt>
                <c:pt idx="16">
                  <c:v>12.31</c:v>
                </c:pt>
                <c:pt idx="17">
                  <c:v>10.43</c:v>
                </c:pt>
                <c:pt idx="18">
                  <c:v>8.86</c:v>
                </c:pt>
                <c:pt idx="19">
                  <c:v>7.55</c:v>
                </c:pt>
                <c:pt idx="20">
                  <c:v>6.45</c:v>
                </c:pt>
                <c:pt idx="21">
                  <c:v>5.53</c:v>
                </c:pt>
                <c:pt idx="22">
                  <c:v>4.751</c:v>
                </c:pt>
                <c:pt idx="23">
                  <c:v>4.0931</c:v>
                </c:pt>
                <c:pt idx="24">
                  <c:v>3.5348</c:v>
                </c:pt>
                <c:pt idx="25">
                  <c:v>3.0602</c:v>
                </c:pt>
                <c:pt idx="26">
                  <c:v>2.6554</c:v>
                </c:pt>
                <c:pt idx="27">
                  <c:v>2.3095</c:v>
                </c:pt>
                <c:pt idx="28">
                  <c:v>2.013</c:v>
                </c:pt>
                <c:pt idx="29">
                  <c:v>1.7582</c:v>
                </c:pt>
                <c:pt idx="30">
                  <c:v>1.5388</c:v>
                </c:pt>
                <c:pt idx="31">
                  <c:v>1.3568</c:v>
                </c:pt>
                <c:pt idx="32">
                  <c:v>1.1989</c:v>
                </c:pt>
                <c:pt idx="33">
                  <c:v>1.0617</c:v>
                </c:pt>
                <c:pt idx="34">
                  <c:v>0.942</c:v>
                </c:pt>
                <c:pt idx="35">
                  <c:v>0.8374</c:v>
                </c:pt>
                <c:pt idx="36">
                  <c:v>0.7459</c:v>
                </c:pt>
                <c:pt idx="37">
                  <c:v>0.6657</c:v>
                </c:pt>
                <c:pt idx="38">
                  <c:v>0.5951</c:v>
                </c:pt>
                <c:pt idx="39">
                  <c:v>0.5329</c:v>
                </c:pt>
                <c:pt idx="40">
                  <c:v>0.478</c:v>
                </c:pt>
                <c:pt idx="41">
                  <c:v>0.4294</c:v>
                </c:pt>
                <c:pt idx="42">
                  <c:v>0.3864</c:v>
                </c:pt>
                <c:pt idx="43">
                  <c:v>0.3483</c:v>
                </c:pt>
                <c:pt idx="44">
                  <c:v>0.3142</c:v>
                </c:pt>
                <c:pt idx="45">
                  <c:v>0.284</c:v>
                </c:pt>
                <c:pt idx="46">
                  <c:v>0.2571</c:v>
                </c:pt>
                <c:pt idx="47">
                  <c:v>0.233</c:v>
                </c:pt>
                <c:pt idx="48">
                  <c:v>0.2115</c:v>
                </c:pt>
                <c:pt idx="49">
                  <c:v>0.1921</c:v>
                </c:pt>
                <c:pt idx="50">
                  <c:v>0.1747</c:v>
                </c:pt>
                <c:pt idx="51">
                  <c:v>0.1592</c:v>
                </c:pt>
                <c:pt idx="52">
                  <c:v>0.1451</c:v>
                </c:pt>
                <c:pt idx="53">
                  <c:v>0.1325</c:v>
                </c:pt>
                <c:pt idx="54">
                  <c:v>0.121</c:v>
                </c:pt>
                <c:pt idx="55">
                  <c:v>0.1108</c:v>
                </c:pt>
                <c:pt idx="56">
                  <c:v>0.1014</c:v>
                </c:pt>
                <c:pt idx="57">
                  <c:v>0.093</c:v>
                </c:pt>
                <c:pt idx="58">
                  <c:v>0.0853</c:v>
                </c:pt>
                <c:pt idx="59">
                  <c:v>0.0783</c:v>
                </c:pt>
                <c:pt idx="60">
                  <c:v>0.072</c:v>
                </c:pt>
              </c:numCache>
            </c:numRef>
          </c:yVal>
          <c:smooth val="1"/>
        </c:ser>
        <c:ser>
          <c:idx val="1"/>
          <c:order val="1"/>
          <c:tx>
            <c:strRef>
              <c:f>"Steinhart-Hart"</c:f>
              <c:strCache>
                <c:ptCount val="1"/>
                <c:pt idx="0">
                  <c:v>Steinhart-Hart</c:v>
                </c:pt>
              </c:strCache>
            </c:strRef>
          </c:tx>
          <c:spPr>
            <a:solidFill>
              <a:srgbClr val="be4b48"/>
            </a:solidFill>
            <a:ln w="28440">
              <a:solidFill>
                <a:srgbClr val="be4b48"/>
              </a:solidFill>
              <a:round/>
            </a:ln>
          </c:spPr>
          <c:marker>
            <c:symbol val="none"/>
          </c:marker>
          <c:dLbls>
            <c:txPr>
              <a:bodyPr wrap="square"/>
              <a:lstStyle/>
              <a:p>
                <a:pPr>
                  <a:defRPr b="0" sz="1000" spc="-1" strike="noStrike">
                    <a:solidFill>
                      <a:srgbClr val="000000"/>
                    </a:solidFill>
                    <a:latin typeface="Calibri"/>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'3 Thermistor from SteinhartHart'!$A$10:$A$70</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xVal>
          <c:yVal>
            <c:numRef>
              <c:f>'3 Thermistor from SteinhartHart'!$E$10:$E$70</c:f>
              <c:numCache>
                <c:formatCode>General</c:formatCode>
                <c:ptCount val="61"/>
                <c:pt idx="0">
                  <c:v>307.587141143163</c:v>
                </c:pt>
                <c:pt idx="1">
                  <c:v>243.393495517195</c:v>
                </c:pt>
                <c:pt idx="2">
                  <c:v>193.51515302672</c:v>
                </c:pt>
                <c:pt idx="3">
                  <c:v>154.579901814924</c:v>
                </c:pt>
                <c:pt idx="4">
                  <c:v>124.048493714195</c:v>
                </c:pt>
                <c:pt idx="5">
                  <c:v>100</c:v>
                </c:pt>
                <c:pt idx="6">
                  <c:v>80.9746567468956</c:v>
                </c:pt>
                <c:pt idx="7">
                  <c:v>65.8582401950389</c:v>
                </c:pt>
                <c:pt idx="8">
                  <c:v>53.7965945566479</c:v>
                </c:pt>
                <c:pt idx="9">
                  <c:v>44.1321587031521</c:v>
                </c:pt>
                <c:pt idx="10">
                  <c:v>36.3566190119085</c:v>
                </c:pt>
                <c:pt idx="11">
                  <c:v>30.0754377248782</c:v>
                </c:pt>
                <c:pt idx="12">
                  <c:v>24.9811656138839</c:v>
                </c:pt>
                <c:pt idx="13">
                  <c:v>20.8332805819796</c:v>
                </c:pt>
                <c:pt idx="14">
                  <c:v>17.4428949112465</c:v>
                </c:pt>
                <c:pt idx="15">
                  <c:v>14.6611096877632</c:v>
                </c:pt>
                <c:pt idx="16">
                  <c:v>12.370112346678</c:v>
                </c:pt>
                <c:pt idx="17">
                  <c:v>10.4763454602529</c:v>
                </c:pt>
                <c:pt idx="18">
                  <c:v>8.90524544422025</c:v>
                </c:pt>
                <c:pt idx="19">
                  <c:v>7.59717565581716</c:v>
                </c:pt>
                <c:pt idx="20">
                  <c:v>6.50427151593627</c:v>
                </c:pt>
                <c:pt idx="21">
                  <c:v>5.58798454551374</c:v>
                </c:pt>
                <c:pt idx="22">
                  <c:v>4.8171638908203</c:v>
                </c:pt>
                <c:pt idx="23">
                  <c:v>4.16655262597676</c:v>
                </c:pt>
                <c:pt idx="24">
                  <c:v>3.61560522428444</c:v>
                </c:pt>
                <c:pt idx="25">
                  <c:v>3.14755454623698</c:v>
                </c:pt>
                <c:pt idx="26">
                  <c:v>2.74867331404486</c:v>
                </c:pt>
                <c:pt idx="27">
                  <c:v>2.40768766897603</c:v>
                </c:pt>
                <c:pt idx="28">
                  <c:v>2.11531003121856</c:v>
                </c:pt>
                <c:pt idx="29">
                  <c:v>1.86386584056624</c:v>
                </c:pt>
                <c:pt idx="30">
                  <c:v>1.64699440110969</c:v>
                </c:pt>
                <c:pt idx="31">
                  <c:v>1.45940839705645</c:v>
                </c:pt>
                <c:pt idx="32">
                  <c:v>1.2967</c:v>
                </c:pt>
                <c:pt idx="33">
                  <c:v>1.15518408427519</c:v>
                </c:pt>
                <c:pt idx="34">
                  <c:v>1.03177108335707</c:v>
                </c:pt>
                <c:pt idx="35">
                  <c:v>0.923863590780673</c:v>
                </c:pt>
                <c:pt idx="36">
                  <c:v>0.829272035908017</c:v>
                </c:pt>
                <c:pt idx="37">
                  <c:v>0.746145726001559</c:v>
                </c:pt>
                <c:pt idx="38">
                  <c:v>0.672916301160293</c:v>
                </c:pt>
                <c:pt idx="39">
                  <c:v>0.608251243557934</c:v>
                </c:pt>
                <c:pt idx="40">
                  <c:v>0.551015552375062</c:v>
                </c:pt>
                <c:pt idx="41">
                  <c:v>0.500240068082569</c:v>
                </c:pt>
                <c:pt idx="42">
                  <c:v>0.455095225407458</c:v>
                </c:pt>
                <c:pt idx="43">
                  <c:v>0.414869249772555</c:v>
                </c:pt>
                <c:pt idx="44">
                  <c:v>0.37895</c:v>
                </c:pt>
                <c:pt idx="45">
                  <c:v>0.346809810557652</c:v>
                </c:pt>
                <c:pt idx="46">
                  <c:v>0.31799280739709</c:v>
                </c:pt>
                <c:pt idx="47">
                  <c:v>0.292104268594025</c:v>
                </c:pt>
                <c:pt idx="48">
                  <c:v>0.268801679364267</c:v>
                </c:pt>
                <c:pt idx="49">
                  <c:v>0.247787194382926</c:v>
                </c:pt>
                <c:pt idx="50">
                  <c:v>0.228801271678709</c:v>
                </c:pt>
                <c:pt idx="51">
                  <c:v>0.211617284084693</c:v>
                </c:pt>
                <c:pt idx="52">
                  <c:v>0.196036948189321</c:v>
                </c:pt>
                <c:pt idx="53">
                  <c:v>0.181886438449325</c:v>
                </c:pt>
                <c:pt idx="54">
                  <c:v>0.169013076799734</c:v>
                </c:pt>
                <c:pt idx="55">
                  <c:v>0.157282506684764</c:v>
                </c:pt>
                <c:pt idx="56">
                  <c:v>0.146576275707074</c:v>
                </c:pt>
                <c:pt idx="57">
                  <c:v>0.136789763670206</c:v>
                </c:pt>
                <c:pt idx="58">
                  <c:v>0.127830403168385</c:v>
                </c:pt>
                <c:pt idx="59">
                  <c:v>0.119616148461611</c:v>
                </c:pt>
                <c:pt idx="60">
                  <c:v>0.112074155487706</c:v>
                </c:pt>
              </c:numCache>
            </c:numRef>
          </c:yVal>
          <c:smooth val="1"/>
        </c:ser>
        <c:ser>
          <c:idx val="2"/>
          <c:order val="2"/>
          <c:tx>
            <c:strRef>
              <c:f>"Beta"</c:f>
              <c:strCache>
                <c:ptCount val="1"/>
                <c:pt idx="0">
                  <c:v>Beta</c:v>
                </c:pt>
              </c:strCache>
            </c:strRef>
          </c:tx>
          <c:spPr>
            <a:solidFill>
              <a:srgbClr val="98b855"/>
            </a:solidFill>
            <a:ln w="28440">
              <a:solidFill>
                <a:srgbClr val="98b855"/>
              </a:solidFill>
              <a:round/>
            </a:ln>
          </c:spPr>
          <c:marker>
            <c:symbol val="none"/>
          </c:marker>
          <c:dLbls>
            <c:txPr>
              <a:bodyPr wrap="square"/>
              <a:lstStyle/>
              <a:p>
                <a:pPr>
                  <a:defRPr b="0" sz="1000" spc="-1" strike="noStrike">
                    <a:solidFill>
                      <a:srgbClr val="000000"/>
                    </a:solidFill>
                    <a:latin typeface="Calibri"/>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'2 Thermistor from Beta'!$A$8:$A$68</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xVal>
          <c:yVal>
            <c:numRef>
              <c:f>'2 Thermistor from Beta'!$C$8:$C$68</c:f>
              <c:numCache>
                <c:formatCode>General</c:formatCode>
                <c:ptCount val="61"/>
                <c:pt idx="0">
                  <c:v>351.185553628182</c:v>
                </c:pt>
                <c:pt idx="1">
                  <c:v>268.277406278595</c:v>
                </c:pt>
                <c:pt idx="2">
                  <c:v>206.90070228536</c:v>
                </c:pt>
                <c:pt idx="3">
                  <c:v>161.010881112158</c:v>
                </c:pt>
                <c:pt idx="4">
                  <c:v>126.375690080327</c:v>
                </c:pt>
                <c:pt idx="5">
                  <c:v>100</c:v>
                </c:pt>
                <c:pt idx="6">
                  <c:v>79.7425339692958</c:v>
                </c:pt>
                <c:pt idx="7">
                  <c:v>64.0575600653509</c:v>
                </c:pt>
                <c:pt idx="8">
                  <c:v>51.8189087943652</c:v>
                </c:pt>
                <c:pt idx="9">
                  <c:v>42.1988322816524</c:v>
                </c:pt>
                <c:pt idx="10">
                  <c:v>34.5837875697168</c:v>
                </c:pt>
                <c:pt idx="11">
                  <c:v>28.5153343508131</c:v>
                </c:pt>
                <c:pt idx="12">
                  <c:v>23.6482815557837</c:v>
                </c:pt>
                <c:pt idx="13">
                  <c:v>19.7207914599898</c:v>
                </c:pt>
                <c:pt idx="14">
                  <c:v>16.532847448931</c:v>
                </c:pt>
                <c:pt idx="15">
                  <c:v>13.9306219863424</c:v>
                </c:pt>
                <c:pt idx="16">
                  <c:v>11.7950412281682</c:v>
                </c:pt>
                <c:pt idx="17">
                  <c:v>10.0333582098498</c:v>
                </c:pt>
                <c:pt idx="18">
                  <c:v>8.57289927299807</c:v>
                </c:pt>
                <c:pt idx="19">
                  <c:v>7.35639179949626</c:v>
                </c:pt>
                <c:pt idx="20">
                  <c:v>6.33845063407118</c:v>
                </c:pt>
                <c:pt idx="21">
                  <c:v>5.48291926814885</c:v>
                </c:pt>
                <c:pt idx="22">
                  <c:v>4.76084568620634</c:v>
                </c:pt>
                <c:pt idx="23">
                  <c:v>4.1489324084807</c:v>
                </c:pt>
                <c:pt idx="24">
                  <c:v>3.62834297962193</c:v>
                </c:pt>
                <c:pt idx="25">
                  <c:v>3.18377795609293</c:v>
                </c:pt>
                <c:pt idx="26">
                  <c:v>2.8027558018325</c:v>
                </c:pt>
                <c:pt idx="27">
                  <c:v>2.4750504294911</c:v>
                </c:pt>
                <c:pt idx="28">
                  <c:v>2.19224912128667</c:v>
                </c:pt>
                <c:pt idx="29">
                  <c:v>1.94740342953125</c:v>
                </c:pt>
                <c:pt idx="30">
                  <c:v>1.73475224616878</c:v>
                </c:pt>
                <c:pt idx="31">
                  <c:v>1.54950115464036</c:v>
                </c:pt>
                <c:pt idx="32">
                  <c:v>1.38764587639362</c:v>
                </c:pt>
                <c:pt idx="33">
                  <c:v>1.24583041735618</c:v>
                </c:pt>
                <c:pt idx="34">
                  <c:v>1.12123263907024</c:v>
                </c:pt>
                <c:pt idx="35">
                  <c:v>1.01147159513762</c:v>
                </c:pt>
                <c:pt idx="36">
                  <c:v>0.914532211477597</c:v>
                </c:pt>
                <c:pt idx="37">
                  <c:v>0.828703841409735</c:v>
                </c:pt>
                <c:pt idx="38">
                  <c:v>0.752529962732793</c:v>
                </c:pt>
                <c:pt idx="39">
                  <c:v>0.684766855343564</c:v>
                </c:pt>
                <c:pt idx="40">
                  <c:v>0.62434954324783</c:v>
                </c:pt>
                <c:pt idx="41">
                  <c:v>0.570363633267764</c:v>
                </c:pt>
                <c:pt idx="42">
                  <c:v>0.522021956477555</c:v>
                </c:pt>
                <c:pt idx="43">
                  <c:v>0.478645134242403</c:v>
                </c:pt>
                <c:pt idx="44">
                  <c:v>0.439645361564058</c:v>
                </c:pt>
                <c:pt idx="45">
                  <c:v>0.40451283612232</c:v>
                </c:pt>
                <c:pt idx="46">
                  <c:v>0.372804369552122</c:v>
                </c:pt>
                <c:pt idx="47">
                  <c:v>0.344133803991088</c:v>
                </c:pt>
                <c:pt idx="48">
                  <c:v>0.31816392633792</c:v>
                </c:pt>
                <c:pt idx="49">
                  <c:v>0.294599628533679</c:v>
                </c:pt>
                <c:pt idx="50">
                  <c:v>0.273182107296367</c:v>
                </c:pt>
                <c:pt idx="51">
                  <c:v>0.253683933285253</c:v>
                </c:pt>
                <c:pt idx="52">
                  <c:v>0.235904849362256</c:v>
                </c:pt>
                <c:pt idx="53">
                  <c:v>0.219668181809364</c:v>
                </c:pt>
                <c:pt idx="54">
                  <c:v>0.204817768127964</c:v>
                </c:pt>
                <c:pt idx="55">
                  <c:v>0.191215321242186</c:v>
                </c:pt>
                <c:pt idx="56">
                  <c:v>0.178738163234673</c:v>
                </c:pt>
                <c:pt idx="57">
                  <c:v>0.167277272704093</c:v>
                </c:pt>
                <c:pt idx="58">
                  <c:v>0.156735598885852</c:v>
                </c:pt>
                <c:pt idx="59">
                  <c:v>0.147026603171982</c:v>
                </c:pt>
                <c:pt idx="60">
                  <c:v>0.138072994886403</c:v>
                </c:pt>
              </c:numCache>
            </c:numRef>
          </c:yVal>
          <c:smooth val="1"/>
        </c:ser>
        <c:axId val="39514625"/>
        <c:axId val="88525235"/>
      </c:scatterChart>
      <c:valAx>
        <c:axId val="39514625"/>
        <c:scaling>
          <c:orientation val="minMax"/>
        </c:scaling>
        <c:delete val="0"/>
        <c:axPos val="b"/>
        <c:title>
          <c:tx>
            <c:rich>
              <a:bodyPr rot="0"/>
              <a:lstStyle/>
              <a:p>
                <a:pPr>
                  <a:defRPr b="1" lang="en-AU" sz="1000" spc="-1" strike="noStrike">
                    <a:solidFill>
                      <a:srgbClr val="000000"/>
                    </a:solidFill>
                    <a:latin typeface="Calibri"/>
                  </a:defRPr>
                </a:pPr>
                <a:r>
                  <a:rPr b="1" lang="en-AU" sz="1000" spc="-1" strike="noStrike">
                    <a:solidFill>
                      <a:srgbClr val="000000"/>
                    </a:solidFill>
                    <a:latin typeface="Calibri"/>
                  </a:rPr>
                  <a:t>T (°C)</a:t>
                </a:r>
              </a:p>
            </c:rich>
          </c:tx>
          <c:overlay val="0"/>
          <c:spPr>
            <a:noFill/>
            <a:ln w="0">
              <a:noFill/>
            </a:ln>
          </c:spPr>
        </c:title>
        <c:numFmt formatCode="General" sourceLinked="0"/>
        <c:majorTickMark val="none"/>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88525235"/>
        <c:crosses val="autoZero"/>
        <c:crossBetween val="midCat"/>
      </c:valAx>
      <c:valAx>
        <c:axId val="88525235"/>
        <c:scaling>
          <c:logBase val="10"/>
          <c:orientation val="minMax"/>
        </c:scaling>
        <c:delete val="0"/>
        <c:axPos val="l"/>
        <c:majorGridlines>
          <c:spPr>
            <a:ln w="9360">
              <a:solidFill>
                <a:srgbClr val="878787"/>
              </a:solidFill>
              <a:round/>
            </a:ln>
          </c:spPr>
        </c:majorGridlines>
        <c:title>
          <c:tx>
            <c:rich>
              <a:bodyPr rot="-5400000"/>
              <a:lstStyle/>
              <a:p>
                <a:pPr>
                  <a:defRPr b="1" lang="en-AU" sz="1000" spc="-1" strike="noStrike">
                    <a:solidFill>
                      <a:srgbClr val="000000"/>
                    </a:solidFill>
                    <a:latin typeface="Calibri"/>
                  </a:defRPr>
                </a:pPr>
                <a:r>
                  <a:rPr b="1" lang="en-AU" sz="1000" spc="-1" strike="noStrike">
                    <a:solidFill>
                      <a:srgbClr val="000000"/>
                    </a:solidFill>
                    <a:latin typeface="Calibri"/>
                  </a:rPr>
                  <a:t>R (kOhm)</a:t>
                </a:r>
              </a:p>
            </c:rich>
          </c:tx>
          <c:overlay val="0"/>
          <c:spPr>
            <a:noFill/>
            <a:ln w="0">
              <a:noFill/>
            </a:ln>
          </c:spPr>
        </c:title>
        <c:numFmt formatCode="General" sourceLinked="0"/>
        <c:majorTickMark val="none"/>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39514625"/>
        <c:crosses val="autoZero"/>
        <c:crossBetween val="midCat"/>
      </c:valAx>
      <c:spPr>
        <a:noFill/>
        <a:ln w="0">
          <a:noFill/>
        </a:ln>
      </c:spPr>
    </c:plotArea>
    <c:legend>
      <c:legendPos val="r"/>
      <c:overlay val="0"/>
      <c:spPr>
        <a:noFill/>
        <a:ln w="0">
          <a:noFill/>
        </a:ln>
      </c:spPr>
      <c:txPr>
        <a:bodyPr/>
        <a:lstStyle/>
        <a:p>
          <a:pPr>
            <a:defRPr b="0" sz="1000" spc="-1" strike="noStrike">
              <a:solidFill>
                <a:srgbClr val="000000"/>
              </a:solidFill>
              <a:latin typeface="Calibri"/>
            </a:defRPr>
          </a:pPr>
        </a:p>
      </c:txPr>
    </c:legend>
    <c:plotVisOnly val="1"/>
    <c:dispBlanksAs val="gap"/>
  </c:chart>
  <c:spPr>
    <a:solidFill>
      <a:srgbClr val="ffffff"/>
    </a:solidFill>
    <a:ln w="9360">
      <a:solidFill>
        <a:srgbClr val="d9d9d9"/>
      </a:solidFill>
      <a:round/>
    </a:ln>
  </c:spPr>
</c:chartSpace>
</file>

<file path=xl/charts/chart20.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lang="en-AU" sz="1800" spc="-1" strike="noStrike">
                <a:solidFill>
                  <a:srgbClr val="000000"/>
                </a:solidFill>
                <a:latin typeface="Calibri"/>
              </a:defRPr>
            </a:pPr>
            <a:r>
              <a:rPr b="1" lang="en-AU" sz="1800" spc="-1" strike="noStrike">
                <a:solidFill>
                  <a:srgbClr val="000000"/>
                </a:solidFill>
                <a:latin typeface="Calibri"/>
              </a:rPr>
              <a:t>Comparison of Methods</a:t>
            </a:r>
          </a:p>
        </c:rich>
      </c:tx>
      <c:overlay val="0"/>
      <c:spPr>
        <a:noFill/>
        <a:ln w="0">
          <a:noFill/>
        </a:ln>
      </c:spPr>
    </c:title>
    <c:autoTitleDeleted val="0"/>
    <c:plotArea>
      <c:scatterChart>
        <c:scatterStyle val="line"/>
        <c:varyColors val="0"/>
        <c:ser>
          <c:idx val="0"/>
          <c:order val="0"/>
          <c:tx>
            <c:strRef>
              <c:f>"Thermistor Table"</c:f>
              <c:strCache>
                <c:ptCount val="1"/>
                <c:pt idx="0">
                  <c:v>Thermistor Table</c:v>
                </c:pt>
              </c:strCache>
            </c:strRef>
          </c:tx>
          <c:spPr>
            <a:solidFill>
              <a:srgbClr val="4a7ebb"/>
            </a:solidFill>
            <a:ln w="28440">
              <a:solidFill>
                <a:srgbClr val="4a7ebb"/>
              </a:solidFill>
              <a:round/>
            </a:ln>
          </c:spPr>
          <c:marker>
            <c:symbol val="none"/>
          </c:marker>
          <c:dLbls>
            <c:txPr>
              <a:bodyPr wrap="square"/>
              <a:lstStyle/>
              <a:p>
                <a:pPr>
                  <a:defRPr b="0" sz="1000" spc="-1" strike="noStrike">
                    <a:solidFill>
                      <a:srgbClr val="000000"/>
                    </a:solidFill>
                    <a:latin typeface="Calibri"/>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'1 ThermistorTableConversion'!$E$8:$E$68</c:f>
              <c:numCache>
                <c:formatCode>General</c:formatCode>
                <c:ptCount val="61"/>
                <c:pt idx="0">
                  <c:v>16147</c:v>
                </c:pt>
                <c:pt idx="1">
                  <c:v>16086</c:v>
                </c:pt>
                <c:pt idx="2">
                  <c:v>16010</c:v>
                </c:pt>
                <c:pt idx="3">
                  <c:v>15918</c:v>
                </c:pt>
                <c:pt idx="4">
                  <c:v>15807</c:v>
                </c:pt>
                <c:pt idx="5">
                  <c:v>15674</c:v>
                </c:pt>
                <c:pt idx="6">
                  <c:v>15516</c:v>
                </c:pt>
                <c:pt idx="7">
                  <c:v>15329</c:v>
                </c:pt>
                <c:pt idx="8">
                  <c:v>15112</c:v>
                </c:pt>
                <c:pt idx="9">
                  <c:v>14861</c:v>
                </c:pt>
                <c:pt idx="10">
                  <c:v>14574</c:v>
                </c:pt>
                <c:pt idx="11">
                  <c:v>14248</c:v>
                </c:pt>
                <c:pt idx="12">
                  <c:v>13883</c:v>
                </c:pt>
                <c:pt idx="13">
                  <c:v>13478</c:v>
                </c:pt>
                <c:pt idx="14">
                  <c:v>13034</c:v>
                </c:pt>
                <c:pt idx="15">
                  <c:v>12552</c:v>
                </c:pt>
                <c:pt idx="16">
                  <c:v>12036</c:v>
                </c:pt>
                <c:pt idx="17">
                  <c:v>11488</c:v>
                </c:pt>
                <c:pt idx="18">
                  <c:v>10912</c:v>
                </c:pt>
                <c:pt idx="19">
                  <c:v>10315</c:v>
                </c:pt>
                <c:pt idx="20">
                  <c:v>9703</c:v>
                </c:pt>
                <c:pt idx="21">
                  <c:v>9088</c:v>
                </c:pt>
                <c:pt idx="22">
                  <c:v>8470</c:v>
                </c:pt>
                <c:pt idx="23">
                  <c:v>7861</c:v>
                </c:pt>
                <c:pt idx="24">
                  <c:v>7264</c:v>
                </c:pt>
                <c:pt idx="25">
                  <c:v>6687</c:v>
                </c:pt>
                <c:pt idx="26">
                  <c:v>6134</c:v>
                </c:pt>
                <c:pt idx="27">
                  <c:v>5609</c:v>
                </c:pt>
                <c:pt idx="28">
                  <c:v>5114</c:v>
                </c:pt>
                <c:pt idx="29">
                  <c:v>4650</c:v>
                </c:pt>
                <c:pt idx="30">
                  <c:v>4220</c:v>
                </c:pt>
                <c:pt idx="31">
                  <c:v>3838</c:v>
                </c:pt>
                <c:pt idx="32">
                  <c:v>3486</c:v>
                </c:pt>
                <c:pt idx="33">
                  <c:v>3164</c:v>
                </c:pt>
                <c:pt idx="34">
                  <c:v>2870</c:v>
                </c:pt>
                <c:pt idx="35">
                  <c:v>2602</c:v>
                </c:pt>
                <c:pt idx="36">
                  <c:v>2359</c:v>
                </c:pt>
                <c:pt idx="37">
                  <c:v>2138</c:v>
                </c:pt>
                <c:pt idx="38">
                  <c:v>1938</c:v>
                </c:pt>
                <c:pt idx="39">
                  <c:v>1758</c:v>
                </c:pt>
                <c:pt idx="40">
                  <c:v>1594</c:v>
                </c:pt>
                <c:pt idx="41">
                  <c:v>1446</c:v>
                </c:pt>
                <c:pt idx="42">
                  <c:v>1313</c:v>
                </c:pt>
                <c:pt idx="43">
                  <c:v>1193</c:v>
                </c:pt>
                <c:pt idx="44">
                  <c:v>1084</c:v>
                </c:pt>
                <c:pt idx="45">
                  <c:v>986</c:v>
                </c:pt>
                <c:pt idx="46">
                  <c:v>898</c:v>
                </c:pt>
                <c:pt idx="47">
                  <c:v>818</c:v>
                </c:pt>
                <c:pt idx="48">
                  <c:v>746</c:v>
                </c:pt>
                <c:pt idx="49">
                  <c:v>680</c:v>
                </c:pt>
                <c:pt idx="50">
                  <c:v>621</c:v>
                </c:pt>
                <c:pt idx="51">
                  <c:v>568</c:v>
                </c:pt>
                <c:pt idx="52">
                  <c:v>519</c:v>
                </c:pt>
                <c:pt idx="53">
                  <c:v>475</c:v>
                </c:pt>
                <c:pt idx="54">
                  <c:v>435</c:v>
                </c:pt>
                <c:pt idx="55">
                  <c:v>399</c:v>
                </c:pt>
                <c:pt idx="56">
                  <c:v>366</c:v>
                </c:pt>
                <c:pt idx="57">
                  <c:v>337</c:v>
                </c:pt>
                <c:pt idx="58">
                  <c:v>309</c:v>
                </c:pt>
                <c:pt idx="59">
                  <c:v>284</c:v>
                </c:pt>
                <c:pt idx="60">
                  <c:v>262</c:v>
                </c:pt>
              </c:numCache>
            </c:numRef>
          </c:xVal>
          <c:yVal>
            <c:numRef>
              <c:f>'1 ThermistorTableConversion'!$A$8:$A$68</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yVal>
          <c:smooth val="1"/>
        </c:ser>
        <c:ser>
          <c:idx val="1"/>
          <c:order val="1"/>
          <c:tx>
            <c:strRef>
              <c:f>"Steinhart-Hart"</c:f>
              <c:strCache>
                <c:ptCount val="1"/>
                <c:pt idx="0">
                  <c:v>Steinhart-Hart</c:v>
                </c:pt>
              </c:strCache>
            </c:strRef>
          </c:tx>
          <c:spPr>
            <a:solidFill>
              <a:srgbClr val="be4b48"/>
            </a:solidFill>
            <a:ln w="28440">
              <a:solidFill>
                <a:srgbClr val="be4b48"/>
              </a:solidFill>
              <a:round/>
            </a:ln>
          </c:spPr>
          <c:marker>
            <c:symbol val="none"/>
          </c:marker>
          <c:dLbls>
            <c:txPr>
              <a:bodyPr wrap="square"/>
              <a:lstStyle/>
              <a:p>
                <a:pPr>
                  <a:defRPr b="0" sz="1000" spc="-1" strike="noStrike">
                    <a:solidFill>
                      <a:srgbClr val="000000"/>
                    </a:solidFill>
                    <a:latin typeface="Calibri"/>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'3 Thermistor from SteinhartHart'!$H$10:$H$70</c:f>
              <c:numCache>
                <c:formatCode>General</c:formatCode>
                <c:ptCount val="61"/>
                <c:pt idx="0">
                  <c:v>16122</c:v>
                </c:pt>
                <c:pt idx="1">
                  <c:v>16058</c:v>
                </c:pt>
                <c:pt idx="2">
                  <c:v>15980</c:v>
                </c:pt>
                <c:pt idx="3">
                  <c:v>15885</c:v>
                </c:pt>
                <c:pt idx="4">
                  <c:v>15770</c:v>
                </c:pt>
                <c:pt idx="5">
                  <c:v>15633</c:v>
                </c:pt>
                <c:pt idx="6">
                  <c:v>15470</c:v>
                </c:pt>
                <c:pt idx="7">
                  <c:v>15278</c:v>
                </c:pt>
                <c:pt idx="8">
                  <c:v>15053</c:v>
                </c:pt>
                <c:pt idx="9">
                  <c:v>14793</c:v>
                </c:pt>
                <c:pt idx="10">
                  <c:v>14494</c:v>
                </c:pt>
                <c:pt idx="11">
                  <c:v>14156</c:v>
                </c:pt>
                <c:pt idx="12">
                  <c:v>13776</c:v>
                </c:pt>
                <c:pt idx="13">
                  <c:v>13355</c:v>
                </c:pt>
                <c:pt idx="14">
                  <c:v>12894</c:v>
                </c:pt>
                <c:pt idx="15">
                  <c:v>12395</c:v>
                </c:pt>
                <c:pt idx="16">
                  <c:v>11861</c:v>
                </c:pt>
                <c:pt idx="17">
                  <c:v>11299</c:v>
                </c:pt>
                <c:pt idx="18">
                  <c:v>10714</c:v>
                </c:pt>
                <c:pt idx="19">
                  <c:v>10112</c:v>
                </c:pt>
                <c:pt idx="20">
                  <c:v>9502</c:v>
                </c:pt>
                <c:pt idx="21">
                  <c:v>8890</c:v>
                </c:pt>
                <c:pt idx="22">
                  <c:v>8285</c:v>
                </c:pt>
                <c:pt idx="23">
                  <c:v>7692</c:v>
                </c:pt>
                <c:pt idx="24">
                  <c:v>7117</c:v>
                </c:pt>
                <c:pt idx="25">
                  <c:v>6565</c:v>
                </c:pt>
                <c:pt idx="26">
                  <c:v>6040</c:v>
                </c:pt>
                <c:pt idx="27">
                  <c:v>5545</c:v>
                </c:pt>
                <c:pt idx="28">
                  <c:v>5080</c:v>
                </c:pt>
                <c:pt idx="29">
                  <c:v>4648</c:v>
                </c:pt>
                <c:pt idx="30">
                  <c:v>4247</c:v>
                </c:pt>
                <c:pt idx="31">
                  <c:v>3878</c:v>
                </c:pt>
                <c:pt idx="32">
                  <c:v>3539</c:v>
                </c:pt>
                <c:pt idx="33">
                  <c:v>3229</c:v>
                </c:pt>
                <c:pt idx="34">
                  <c:v>2946</c:v>
                </c:pt>
                <c:pt idx="35">
                  <c:v>2689</c:v>
                </c:pt>
                <c:pt idx="36">
                  <c:v>2455</c:v>
                </c:pt>
                <c:pt idx="37">
                  <c:v>2242</c:v>
                </c:pt>
                <c:pt idx="38">
                  <c:v>2050</c:v>
                </c:pt>
                <c:pt idx="39">
                  <c:v>1876</c:v>
                </c:pt>
                <c:pt idx="40">
                  <c:v>1718</c:v>
                </c:pt>
                <c:pt idx="41">
                  <c:v>1575</c:v>
                </c:pt>
                <c:pt idx="42">
                  <c:v>1445</c:v>
                </c:pt>
                <c:pt idx="43">
                  <c:v>1328</c:v>
                </c:pt>
                <c:pt idx="44">
                  <c:v>1221</c:v>
                </c:pt>
                <c:pt idx="45">
                  <c:v>1125</c:v>
                </c:pt>
                <c:pt idx="46">
                  <c:v>1037</c:v>
                </c:pt>
                <c:pt idx="47">
                  <c:v>958</c:v>
                </c:pt>
                <c:pt idx="48">
                  <c:v>885</c:v>
                </c:pt>
                <c:pt idx="49">
                  <c:v>820</c:v>
                </c:pt>
                <c:pt idx="50">
                  <c:v>760</c:v>
                </c:pt>
                <c:pt idx="51">
                  <c:v>705</c:v>
                </c:pt>
                <c:pt idx="52">
                  <c:v>655</c:v>
                </c:pt>
                <c:pt idx="53">
                  <c:v>610</c:v>
                </c:pt>
                <c:pt idx="54">
                  <c:v>568</c:v>
                </c:pt>
                <c:pt idx="55">
                  <c:v>530</c:v>
                </c:pt>
                <c:pt idx="56">
                  <c:v>495</c:v>
                </c:pt>
                <c:pt idx="57">
                  <c:v>463</c:v>
                </c:pt>
                <c:pt idx="58">
                  <c:v>433</c:v>
                </c:pt>
                <c:pt idx="59">
                  <c:v>406</c:v>
                </c:pt>
                <c:pt idx="60">
                  <c:v>381</c:v>
                </c:pt>
              </c:numCache>
            </c:numRef>
          </c:xVal>
          <c:yVal>
            <c:numRef>
              <c:f>'3 Thermistor from SteinhartHart'!$A$10:$A$70</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yVal>
          <c:smooth val="1"/>
        </c:ser>
        <c:ser>
          <c:idx val="2"/>
          <c:order val="2"/>
          <c:tx>
            <c:strRef>
              <c:f>"Beta"</c:f>
              <c:strCache>
                <c:ptCount val="1"/>
                <c:pt idx="0">
                  <c:v>Beta</c:v>
                </c:pt>
              </c:strCache>
            </c:strRef>
          </c:tx>
          <c:spPr>
            <a:solidFill>
              <a:srgbClr val="98b855"/>
            </a:solidFill>
            <a:ln w="28440">
              <a:solidFill>
                <a:srgbClr val="98b855"/>
              </a:solidFill>
              <a:round/>
            </a:ln>
          </c:spPr>
          <c:marker>
            <c:symbol val="none"/>
          </c:marker>
          <c:dLbls>
            <c:txPr>
              <a:bodyPr wrap="square"/>
              <a:lstStyle/>
              <a:p>
                <a:pPr>
                  <a:defRPr b="0" sz="1000" spc="-1" strike="noStrike">
                    <a:solidFill>
                      <a:srgbClr val="000000"/>
                    </a:solidFill>
                    <a:latin typeface="Calibri"/>
                  </a:defRPr>
                </a:pPr>
              </a:p>
            </c:txPr>
            <c:dLblPos val="r"/>
            <c:showLegendKey val="0"/>
            <c:showVal val="0"/>
            <c:showCatName val="0"/>
            <c:showSerName val="0"/>
            <c:showPercent val="0"/>
            <c:separator>; </c:separator>
            <c:showLeaderLines val="1"/>
            <c:extLst>
              <c:ext xmlns:c15="http://schemas.microsoft.com/office/drawing/2012/chart" uri="{CE6537A1-D6FC-4f65-9D91-7224C49458BB}">
                <c15:showLeaderLines val="1"/>
              </c:ext>
            </c:extLst>
          </c:dLbls>
          <c:xVal>
            <c:numRef>
              <c:f>'2 Thermistor from Beta'!$F$8:$F$68</c:f>
              <c:numCache>
                <c:formatCode>General</c:formatCode>
                <c:ptCount val="61"/>
                <c:pt idx="0">
                  <c:v>16152</c:v>
                </c:pt>
                <c:pt idx="1">
                  <c:v>16086</c:v>
                </c:pt>
                <c:pt idx="2">
                  <c:v>16004</c:v>
                </c:pt>
                <c:pt idx="3">
                  <c:v>15904</c:v>
                </c:pt>
                <c:pt idx="4">
                  <c:v>15781</c:v>
                </c:pt>
                <c:pt idx="5">
                  <c:v>15633</c:v>
                </c:pt>
                <c:pt idx="6">
                  <c:v>15457</c:v>
                </c:pt>
                <c:pt idx="7">
                  <c:v>15249</c:v>
                </c:pt>
                <c:pt idx="8">
                  <c:v>15007</c:v>
                </c:pt>
                <c:pt idx="9">
                  <c:v>14728</c:v>
                </c:pt>
                <c:pt idx="10">
                  <c:v>14410</c:v>
                </c:pt>
                <c:pt idx="11">
                  <c:v>14052</c:v>
                </c:pt>
                <c:pt idx="12">
                  <c:v>13654</c:v>
                </c:pt>
                <c:pt idx="13">
                  <c:v>13218</c:v>
                </c:pt>
                <c:pt idx="14">
                  <c:v>12745</c:v>
                </c:pt>
                <c:pt idx="15">
                  <c:v>12239</c:v>
                </c:pt>
                <c:pt idx="16">
                  <c:v>11704</c:v>
                </c:pt>
                <c:pt idx="17">
                  <c:v>11147</c:v>
                </c:pt>
                <c:pt idx="18">
                  <c:v>10572</c:v>
                </c:pt>
                <c:pt idx="19">
                  <c:v>9987</c:v>
                </c:pt>
                <c:pt idx="20">
                  <c:v>9399</c:v>
                </c:pt>
                <c:pt idx="21">
                  <c:v>8813</c:v>
                </c:pt>
                <c:pt idx="22">
                  <c:v>8237</c:v>
                </c:pt>
                <c:pt idx="23">
                  <c:v>7674</c:v>
                </c:pt>
                <c:pt idx="24">
                  <c:v>7131</c:v>
                </c:pt>
                <c:pt idx="25">
                  <c:v>6610</c:v>
                </c:pt>
                <c:pt idx="26">
                  <c:v>6114</c:v>
                </c:pt>
                <c:pt idx="27">
                  <c:v>5646</c:v>
                </c:pt>
                <c:pt idx="28">
                  <c:v>5206</c:v>
                </c:pt>
                <c:pt idx="29">
                  <c:v>4795</c:v>
                </c:pt>
                <c:pt idx="30">
                  <c:v>4413</c:v>
                </c:pt>
                <c:pt idx="31">
                  <c:v>4058</c:v>
                </c:pt>
                <c:pt idx="32">
                  <c:v>3731</c:v>
                </c:pt>
                <c:pt idx="33">
                  <c:v>3430</c:v>
                </c:pt>
                <c:pt idx="34">
                  <c:v>3153</c:v>
                </c:pt>
                <c:pt idx="35">
                  <c:v>2899</c:v>
                </c:pt>
                <c:pt idx="36">
                  <c:v>2666</c:v>
                </c:pt>
                <c:pt idx="37">
                  <c:v>2453</c:v>
                </c:pt>
                <c:pt idx="38">
                  <c:v>2259</c:v>
                </c:pt>
                <c:pt idx="39">
                  <c:v>2081</c:v>
                </c:pt>
                <c:pt idx="40">
                  <c:v>1919</c:v>
                </c:pt>
                <c:pt idx="41">
                  <c:v>1771</c:v>
                </c:pt>
                <c:pt idx="42">
                  <c:v>1636</c:v>
                </c:pt>
                <c:pt idx="43">
                  <c:v>1513</c:v>
                </c:pt>
                <c:pt idx="44">
                  <c:v>1400</c:v>
                </c:pt>
                <c:pt idx="45">
                  <c:v>1297</c:v>
                </c:pt>
                <c:pt idx="46">
                  <c:v>1203</c:v>
                </c:pt>
                <c:pt idx="47">
                  <c:v>1117</c:v>
                </c:pt>
                <c:pt idx="48">
                  <c:v>1038</c:v>
                </c:pt>
                <c:pt idx="49">
                  <c:v>965</c:v>
                </c:pt>
                <c:pt idx="50">
                  <c:v>899</c:v>
                </c:pt>
                <c:pt idx="51">
                  <c:v>838</c:v>
                </c:pt>
                <c:pt idx="52">
                  <c:v>782</c:v>
                </c:pt>
                <c:pt idx="53">
                  <c:v>731</c:v>
                </c:pt>
                <c:pt idx="54">
                  <c:v>684</c:v>
                </c:pt>
                <c:pt idx="55">
                  <c:v>640</c:v>
                </c:pt>
                <c:pt idx="56">
                  <c:v>600</c:v>
                </c:pt>
                <c:pt idx="57">
                  <c:v>563</c:v>
                </c:pt>
                <c:pt idx="58">
                  <c:v>528</c:v>
                </c:pt>
                <c:pt idx="59">
                  <c:v>496</c:v>
                </c:pt>
                <c:pt idx="60">
                  <c:v>467</c:v>
                </c:pt>
              </c:numCache>
            </c:numRef>
          </c:xVal>
          <c:yVal>
            <c:numRef>
              <c:f>'2 Thermistor from Beta'!$A$8:$A$68</c:f>
              <c:numCache>
                <c:formatCode>General</c:formatCode>
                <c:ptCount val="6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pt idx="41">
                  <c:v>205</c:v>
                </c:pt>
                <c:pt idx="42">
                  <c:v>210</c:v>
                </c:pt>
                <c:pt idx="43">
                  <c:v>215</c:v>
                </c:pt>
                <c:pt idx="44">
                  <c:v>220</c:v>
                </c:pt>
                <c:pt idx="45">
                  <c:v>225</c:v>
                </c:pt>
                <c:pt idx="46">
                  <c:v>230</c:v>
                </c:pt>
                <c:pt idx="47">
                  <c:v>235</c:v>
                </c:pt>
                <c:pt idx="48">
                  <c:v>240</c:v>
                </c:pt>
                <c:pt idx="49">
                  <c:v>245</c:v>
                </c:pt>
                <c:pt idx="50">
                  <c:v>250</c:v>
                </c:pt>
                <c:pt idx="51">
                  <c:v>255</c:v>
                </c:pt>
                <c:pt idx="52">
                  <c:v>260</c:v>
                </c:pt>
                <c:pt idx="53">
                  <c:v>265</c:v>
                </c:pt>
                <c:pt idx="54">
                  <c:v>270</c:v>
                </c:pt>
                <c:pt idx="55">
                  <c:v>275</c:v>
                </c:pt>
                <c:pt idx="56">
                  <c:v>280</c:v>
                </c:pt>
                <c:pt idx="57">
                  <c:v>285</c:v>
                </c:pt>
                <c:pt idx="58">
                  <c:v>290</c:v>
                </c:pt>
                <c:pt idx="59">
                  <c:v>295</c:v>
                </c:pt>
                <c:pt idx="60">
                  <c:v>300</c:v>
                </c:pt>
              </c:numCache>
            </c:numRef>
          </c:yVal>
          <c:smooth val="1"/>
        </c:ser>
        <c:axId val="25932567"/>
        <c:axId val="49226665"/>
      </c:scatterChart>
      <c:valAx>
        <c:axId val="25932567"/>
        <c:scaling>
          <c:orientation val="minMax"/>
        </c:scaling>
        <c:delete val="0"/>
        <c:axPos val="b"/>
        <c:title>
          <c:tx>
            <c:rich>
              <a:bodyPr rot="0"/>
              <a:lstStyle/>
              <a:p>
                <a:pPr>
                  <a:defRPr b="1" lang="en-AU" sz="1000" spc="-1" strike="noStrike">
                    <a:solidFill>
                      <a:srgbClr val="000000"/>
                    </a:solidFill>
                    <a:latin typeface="Calibri"/>
                  </a:defRPr>
                </a:pPr>
                <a:r>
                  <a:rPr b="1" lang="en-AU" sz="1000" spc="-1" strike="noStrike">
                    <a:solidFill>
                      <a:srgbClr val="000000"/>
                    </a:solidFill>
                    <a:latin typeface="Calibri"/>
                  </a:rPr>
                  <a:t>Reading ADC (oversampled)</a:t>
                </a:r>
              </a:p>
            </c:rich>
          </c:tx>
          <c:overlay val="0"/>
          <c:spPr>
            <a:noFill/>
            <a:ln w="0">
              <a:noFill/>
            </a:ln>
          </c:spPr>
        </c:title>
        <c:numFmt formatCode="General" sourceLinked="0"/>
        <c:majorTickMark val="none"/>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49226665"/>
        <c:crosses val="autoZero"/>
        <c:crossBetween val="midCat"/>
      </c:valAx>
      <c:valAx>
        <c:axId val="49226665"/>
        <c:scaling>
          <c:orientation val="minMax"/>
        </c:scaling>
        <c:delete val="0"/>
        <c:axPos val="l"/>
        <c:majorGridlines>
          <c:spPr>
            <a:ln w="9360">
              <a:solidFill>
                <a:srgbClr val="878787"/>
              </a:solidFill>
              <a:round/>
            </a:ln>
          </c:spPr>
        </c:majorGridlines>
        <c:title>
          <c:tx>
            <c:rich>
              <a:bodyPr rot="-5400000"/>
              <a:lstStyle/>
              <a:p>
                <a:pPr>
                  <a:defRPr b="1" lang="en-AU" sz="1000" spc="-1" strike="noStrike">
                    <a:solidFill>
                      <a:srgbClr val="000000"/>
                    </a:solidFill>
                    <a:latin typeface="Calibri"/>
                  </a:defRPr>
                </a:pPr>
                <a:r>
                  <a:rPr b="1" lang="en-AU" sz="1000" spc="-1" strike="noStrike">
                    <a:solidFill>
                      <a:srgbClr val="000000"/>
                    </a:solidFill>
                    <a:latin typeface="Calibri"/>
                  </a:rPr>
                  <a:t>Temp (°C)</a:t>
                </a:r>
              </a:p>
            </c:rich>
          </c:tx>
          <c:overlay val="0"/>
          <c:spPr>
            <a:noFill/>
            <a:ln w="0">
              <a:noFill/>
            </a:ln>
          </c:spPr>
        </c:title>
        <c:numFmt formatCode="General" sourceLinked="0"/>
        <c:majorTickMark val="none"/>
        <c:minorTickMark val="none"/>
        <c:tickLblPos val="nextTo"/>
        <c:spPr>
          <a:ln w="9360">
            <a:solidFill>
              <a:srgbClr val="878787"/>
            </a:solidFill>
            <a:round/>
          </a:ln>
        </c:spPr>
        <c:txPr>
          <a:bodyPr/>
          <a:lstStyle/>
          <a:p>
            <a:pPr>
              <a:defRPr b="0" sz="1000" spc="-1" strike="noStrike">
                <a:solidFill>
                  <a:srgbClr val="000000"/>
                </a:solidFill>
                <a:latin typeface="Calibri"/>
              </a:defRPr>
            </a:pPr>
          </a:p>
        </c:txPr>
        <c:crossAx val="25932567"/>
        <c:crosses val="autoZero"/>
        <c:crossBetween val="midCat"/>
      </c:valAx>
      <c:spPr>
        <a:noFill/>
        <a:ln w="0">
          <a:noFill/>
        </a:ln>
      </c:spPr>
    </c:plotArea>
    <c:legend>
      <c:legendPos val="r"/>
      <c:overlay val="0"/>
      <c:spPr>
        <a:noFill/>
        <a:ln w="0">
          <a:noFill/>
        </a:ln>
      </c:spPr>
      <c:txPr>
        <a:bodyPr/>
        <a:lstStyle/>
        <a:p>
          <a:pPr>
            <a:defRPr b="0" sz="1000" spc="-1" strike="noStrike">
              <a:solidFill>
                <a:srgbClr val="000000"/>
              </a:solidFill>
              <a:latin typeface="Calibri"/>
            </a:defRPr>
          </a:pPr>
        </a:p>
      </c:txPr>
    </c:legend>
    <c:plotVisOnly val="1"/>
    <c:dispBlanksAs val="gap"/>
  </c:chart>
  <c:spPr>
    <a:solidFill>
      <a:srgbClr val="ffffff"/>
    </a:solidFill>
    <a:ln w="9360">
      <a:solidFill>
        <a:srgbClr val="d9d9d9"/>
      </a:solidFill>
      <a:round/>
    </a:ln>
  </c:spPr>
</c:chartSpace>
</file>

<file path=xl/ctrlProps/ctrlProps2.xml><?xml version="1.0" encoding="utf-8"?>
<formControlPr xmlns="http://schemas.microsoft.com/office/spreadsheetml/2009/9/main" objectType="Button" lockText="1"/>
</file>

<file path=xl/ctrlProps/ctrlProps5.xml><?xml version="1.0" encoding="utf-8"?>
<formControlPr xmlns="http://schemas.microsoft.com/office/spreadsheetml/2009/9/main" objectType="Button" lockText="1"/>
</file>

<file path=xl/ctrlProps/ctrlProps8.xml><?xml version="1.0" encoding="utf-8"?>
<formControlPr xmlns="http://schemas.microsoft.com/office/spreadsheetml/2009/9/main" objectType="Button" lockText="1"/>
</file>

<file path=xl/drawings/_rels/drawing1.xml.rels><?xml version="1.0" encoding="UTF-8"?>
<Relationships xmlns="http://schemas.openxmlformats.org/package/2006/relationships"><Relationship Id="rId1" Type="http://schemas.openxmlformats.org/officeDocument/2006/relationships/chart" Target="../charts/chart16.xml"/><Relationship Id="rId2" Type="http://schemas.openxmlformats.org/officeDocument/2006/relationships/chart" Target="../charts/chart17.xml"/><Relationship Id="rId3" Type="http://schemas.openxmlformats.org/officeDocument/2006/relationships/chart" Target="../charts/chart18.xml"/>
</Relationships>
</file>

<file path=xl/drawings/_rels/drawing3.xml.rels><?xml version="1.0" encoding="UTF-8"?>
<Relationships xmlns="http://schemas.openxmlformats.org/package/2006/relationships"><Relationship Id="rId1" Type="http://schemas.openxmlformats.org/officeDocument/2006/relationships/image" Target="../media/image16.png"/><Relationship Id="rId2" Type="http://schemas.openxmlformats.org/officeDocument/2006/relationships/image" Target="../media/image17.png"/><Relationship Id="rId3" Type="http://schemas.openxmlformats.org/officeDocument/2006/relationships/image" Target="../media/image18.png"/><Relationship Id="rId4" Type="http://schemas.openxmlformats.org/officeDocument/2006/relationships/image" Target="../media/image19.png"/>
</Relationships>
</file>

<file path=xl/drawings/_rels/drawing6.xml.rels><?xml version="1.0" encoding="UTF-8"?>
<Relationships xmlns="http://schemas.openxmlformats.org/package/2006/relationships"><Relationship Id="rId1" Type="http://schemas.openxmlformats.org/officeDocument/2006/relationships/image" Target="../media/image20.png"/>
</Relationships>
</file>

<file path=xl/drawings/_rels/drawing9.xml.rels><?xml version="1.0" encoding="UTF-8"?>
<Relationships xmlns="http://schemas.openxmlformats.org/package/2006/relationships"><Relationship Id="rId1" Type="http://schemas.openxmlformats.org/officeDocument/2006/relationships/chart" Target="../charts/chart19.xml"/>
</Relationships>
</file>

<file path=xl/drawings/_rels/drawing10.xml.rels><?xml version="1.0" encoding="UTF-8"?>
<Relationships xmlns="http://schemas.openxmlformats.org/package/2006/relationships"><Relationship Id="rId1" Type="http://schemas.openxmlformats.org/officeDocument/2006/relationships/chart" Target="../charts/chart20.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52560</xdr:colOff>
      <xdr:row>27</xdr:row>
      <xdr:rowOff>14400</xdr:rowOff>
    </xdr:from>
    <xdr:to>
      <xdr:col>17</xdr:col>
      <xdr:colOff>566640</xdr:colOff>
      <xdr:row>41</xdr:row>
      <xdr:rowOff>170640</xdr:rowOff>
    </xdr:to>
    <xdr:graphicFrame>
      <xdr:nvGraphicFramePr>
        <xdr:cNvPr id="0" name="Chart 1"/>
        <xdr:cNvGraphicFramePr/>
      </xdr:nvGraphicFramePr>
      <xdr:xfrm>
        <a:off x="9158400" y="4786560"/>
        <a:ext cx="5712120" cy="260964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28440</xdr:colOff>
      <xdr:row>12</xdr:row>
      <xdr:rowOff>0</xdr:rowOff>
    </xdr:from>
    <xdr:to>
      <xdr:col>17</xdr:col>
      <xdr:colOff>542520</xdr:colOff>
      <xdr:row>26</xdr:row>
      <xdr:rowOff>146160</xdr:rowOff>
    </xdr:to>
    <xdr:graphicFrame>
      <xdr:nvGraphicFramePr>
        <xdr:cNvPr id="1" name="Chart 3"/>
        <xdr:cNvGraphicFramePr/>
      </xdr:nvGraphicFramePr>
      <xdr:xfrm>
        <a:off x="9134280" y="2143080"/>
        <a:ext cx="5712120" cy="259992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12</xdr:col>
      <xdr:colOff>0</xdr:colOff>
      <xdr:row>43</xdr:row>
      <xdr:rowOff>0</xdr:rowOff>
    </xdr:from>
    <xdr:to>
      <xdr:col>17</xdr:col>
      <xdr:colOff>514080</xdr:colOff>
      <xdr:row>57</xdr:row>
      <xdr:rowOff>155880</xdr:rowOff>
    </xdr:to>
    <xdr:graphicFrame>
      <xdr:nvGraphicFramePr>
        <xdr:cNvPr id="2" name="Chart 4"/>
        <xdr:cNvGraphicFramePr/>
      </xdr:nvGraphicFramePr>
      <xdr:xfrm>
        <a:off x="9105840" y="7576200"/>
        <a:ext cx="5712120" cy="260964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1" descr="Create Table" hidden="0"/>
            <xdr:cNvSpPr/>
          </xdr:nvSpPr>
          <xdr:spPr>
            <a:xfrm>
              <a:off x="0" y="0"/>
              <a:ext cx="0" cy="0"/>
            </a:xfrm>
            <a:prstGeom prst="rect">
              <a:avLst/>
            </a:prstGeom>
          </xdr:spPr>
          <xdr:txBody>
            <a:bodyPr anchor="ctr">
              <a:noAutofit/>
            </a:bodyPr>
            <a:p>
              <a:r>
                <a:t>Create Table</a:t>
              </a:r>
            </a:p>
          </xdr:txBody>
        </xdr:sp>
        <xdr:clientData/>
      </xdr:twoCellAnchor>
    </mc:Choice>
  </mc:AlternateContent>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399960</xdr:colOff>
      <xdr:row>12</xdr:row>
      <xdr:rowOff>0</xdr:rowOff>
    </xdr:from>
    <xdr:to>
      <xdr:col>0</xdr:col>
      <xdr:colOff>7123320</xdr:colOff>
      <xdr:row>46</xdr:row>
      <xdr:rowOff>122760</xdr:rowOff>
    </xdr:to>
    <xdr:pic>
      <xdr:nvPicPr>
        <xdr:cNvPr id="3" name="Picture 1" descr=""/>
        <xdr:cNvPicPr/>
      </xdr:nvPicPr>
      <xdr:blipFill>
        <a:blip r:embed="rId1"/>
        <a:stretch/>
      </xdr:blipFill>
      <xdr:spPr>
        <a:xfrm>
          <a:off x="399960" y="8191440"/>
          <a:ext cx="6723360" cy="6275880"/>
        </a:xfrm>
        <a:prstGeom prst="rect">
          <a:avLst/>
        </a:prstGeom>
        <a:ln w="0">
          <a:noFill/>
        </a:ln>
      </xdr:spPr>
    </xdr:pic>
    <xdr:clientData/>
  </xdr:twoCellAnchor>
  <xdr:twoCellAnchor editAs="oneCell">
    <xdr:from>
      <xdr:col>0</xdr:col>
      <xdr:colOff>390600</xdr:colOff>
      <xdr:row>46</xdr:row>
      <xdr:rowOff>152280</xdr:rowOff>
    </xdr:from>
    <xdr:to>
      <xdr:col>0</xdr:col>
      <xdr:colOff>6990120</xdr:colOff>
      <xdr:row>80</xdr:row>
      <xdr:rowOff>170280</xdr:rowOff>
    </xdr:to>
    <xdr:pic>
      <xdr:nvPicPr>
        <xdr:cNvPr id="4" name="Picture 3" descr=""/>
        <xdr:cNvPicPr/>
      </xdr:nvPicPr>
      <xdr:blipFill>
        <a:blip r:embed="rId2"/>
        <a:stretch/>
      </xdr:blipFill>
      <xdr:spPr>
        <a:xfrm>
          <a:off x="390600" y="14496840"/>
          <a:ext cx="6599520" cy="6171120"/>
        </a:xfrm>
        <a:prstGeom prst="rect">
          <a:avLst/>
        </a:prstGeom>
        <a:ln w="0">
          <a:noFill/>
        </a:ln>
      </xdr:spPr>
    </xdr:pic>
    <xdr:clientData/>
  </xdr:twoCellAnchor>
  <xdr:twoCellAnchor editAs="oneCell">
    <xdr:from>
      <xdr:col>0</xdr:col>
      <xdr:colOff>1009800</xdr:colOff>
      <xdr:row>81</xdr:row>
      <xdr:rowOff>85680</xdr:rowOff>
    </xdr:from>
    <xdr:to>
      <xdr:col>0</xdr:col>
      <xdr:colOff>6266520</xdr:colOff>
      <xdr:row>120</xdr:row>
      <xdr:rowOff>160560</xdr:rowOff>
    </xdr:to>
    <xdr:pic>
      <xdr:nvPicPr>
        <xdr:cNvPr id="5" name="Picture 4" descr=""/>
        <xdr:cNvPicPr/>
      </xdr:nvPicPr>
      <xdr:blipFill>
        <a:blip r:embed="rId3"/>
        <a:stretch/>
      </xdr:blipFill>
      <xdr:spPr>
        <a:xfrm>
          <a:off x="1009800" y="20764440"/>
          <a:ext cx="5256720" cy="7133040"/>
        </a:xfrm>
        <a:prstGeom prst="rect">
          <a:avLst/>
        </a:prstGeom>
        <a:ln w="0">
          <a:noFill/>
        </a:ln>
      </xdr:spPr>
    </xdr:pic>
    <xdr:clientData/>
  </xdr:twoCellAnchor>
  <xdr:twoCellAnchor editAs="oneCell">
    <xdr:from>
      <xdr:col>0</xdr:col>
      <xdr:colOff>838080</xdr:colOff>
      <xdr:row>121</xdr:row>
      <xdr:rowOff>95400</xdr:rowOff>
    </xdr:from>
    <xdr:to>
      <xdr:col>0</xdr:col>
      <xdr:colOff>6094800</xdr:colOff>
      <xdr:row>149</xdr:row>
      <xdr:rowOff>27720</xdr:rowOff>
    </xdr:to>
    <xdr:pic>
      <xdr:nvPicPr>
        <xdr:cNvPr id="6" name="Picture 5" descr=""/>
        <xdr:cNvPicPr/>
      </xdr:nvPicPr>
      <xdr:blipFill>
        <a:blip r:embed="rId4"/>
        <a:stretch/>
      </xdr:blipFill>
      <xdr:spPr>
        <a:xfrm>
          <a:off x="838080" y="28013040"/>
          <a:ext cx="5256720" cy="4999680"/>
        </a:xfrm>
        <a:prstGeom prst="rect">
          <a:avLst/>
        </a:prstGeom>
        <a:ln w="0">
          <a:noFill/>
        </a:ln>
      </xdr:spPr>
    </xdr:pic>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1" descr="Create Table" hidden="0"/>
            <xdr:cNvSpPr/>
          </xdr:nvSpPr>
          <xdr:spPr>
            <a:xfrm>
              <a:off x="0" y="0"/>
              <a:ext cx="0" cy="0"/>
            </a:xfrm>
            <a:prstGeom prst="rect">
              <a:avLst/>
            </a:prstGeom>
          </xdr:spPr>
          <xdr:txBody>
            <a:bodyPr anchor="ctr">
              <a:noAutofit/>
            </a:bodyPr>
            <a:p>
              <a:r>
                <a:t>Create Table</a:t>
              </a:r>
            </a:p>
          </xdr:txBody>
        </xdr:sp>
        <xdr:clientData/>
      </xdr:twoCellAnchor>
    </mc:Choice>
  </mc:AlternateContent>
</xdr:wsDr>
</file>

<file path=xl/drawings/drawing6.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23040</xdr:colOff>
      <xdr:row>5</xdr:row>
      <xdr:rowOff>30600</xdr:rowOff>
    </xdr:from>
    <xdr:to>
      <xdr:col>9</xdr:col>
      <xdr:colOff>335520</xdr:colOff>
      <xdr:row>35</xdr:row>
      <xdr:rowOff>152640</xdr:rowOff>
    </xdr:to>
    <xdr:pic>
      <xdr:nvPicPr>
        <xdr:cNvPr id="7" name="Picture 1" descr=""/>
        <xdr:cNvPicPr/>
      </xdr:nvPicPr>
      <xdr:blipFill>
        <a:blip r:embed="rId1"/>
        <a:stretch/>
      </xdr:blipFill>
      <xdr:spPr>
        <a:xfrm>
          <a:off x="23040" y="935640"/>
          <a:ext cx="7142040" cy="5551200"/>
        </a:xfrm>
        <a:prstGeom prst="rect">
          <a:avLst/>
        </a:prstGeom>
        <a:ln w="0">
          <a:noFill/>
        </a:ln>
      </xdr:spPr>
    </xdr:pic>
    <xdr:clientData/>
  </xdr:twoCellAnchor>
</xdr:wsDr>
</file>

<file path=xl/drawings/drawing7.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2" descr="Create Table" hidden="0"/>
            <xdr:cNvSpPr/>
          </xdr:nvSpPr>
          <xdr:spPr>
            <a:xfrm>
              <a:off x="0" y="0"/>
              <a:ext cx="0" cy="0"/>
            </a:xfrm>
            <a:prstGeom prst="rect">
              <a:avLst/>
            </a:prstGeom>
          </xdr:spPr>
          <xdr:txBody>
            <a:bodyPr anchor="ctr">
              <a:noAutofit/>
            </a:bodyPr>
            <a:p>
              <a:r>
                <a:t>Create Table</a:t>
              </a:r>
            </a:p>
          </xdr:txBody>
        </xdr:sp>
        <xdr:clientData/>
      </xdr:twoCellAnchor>
    </mc:Choice>
  </mc:AlternateContent>
</xdr:wsDr>
</file>

<file path=xl/drawings/drawing9.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12</xdr:col>
      <xdr:colOff>217440</xdr:colOff>
      <xdr:row>37</xdr:row>
      <xdr:rowOff>49320</xdr:rowOff>
    </xdr:to>
    <xdr:graphicFrame>
      <xdr:nvGraphicFramePr>
        <xdr:cNvPr id="8" name="Chart 1"/>
        <xdr:cNvGraphicFramePr/>
      </xdr:nvGraphicFramePr>
      <xdr:xfrm>
        <a:off x="0" y="0"/>
        <a:ext cx="9285120" cy="60642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11</xdr:col>
      <xdr:colOff>362520</xdr:colOff>
      <xdr:row>38</xdr:row>
      <xdr:rowOff>119880</xdr:rowOff>
    </xdr:to>
    <xdr:graphicFrame>
      <xdr:nvGraphicFramePr>
        <xdr:cNvPr id="9" name="Chart 1"/>
        <xdr:cNvGraphicFramePr/>
      </xdr:nvGraphicFramePr>
      <xdr:xfrm>
        <a:off x="0" y="0"/>
        <a:ext cx="8674560" cy="629712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s2.xml"/>
</Relationships>
</file>

<file path=xl/worksheets/_rels/sheet2.xml.rels><?xml version="1.0" encoding="UTF-8"?>
<Relationships xmlns="http://schemas.openxmlformats.org/package/2006/relationships"><Relationship Id="rId1" Type="http://schemas.openxmlformats.org/officeDocument/2006/relationships/drawing" Target="../drawings/drawing3.xml"/>
</Relationships>
</file>

<file path=xl/worksheets/_rels/sheet3.xml.rels><?xml version="1.0" encoding="UTF-8"?>
<Relationships xmlns="http://schemas.openxmlformats.org/package/2006/relationships"><Relationship Id="rId1" Type="http://schemas.openxmlformats.org/officeDocument/2006/relationships/drawing" Target="../drawings/drawing4.xml"/><Relationship Id="rId2" Type="http://schemas.openxmlformats.org/officeDocument/2006/relationships/vmlDrawing" Target="../drawings/vmlDrawing2.vml"/><Relationship Id="rId3" Type="http://schemas.openxmlformats.org/officeDocument/2006/relationships/ctrlProp" Target="../ctrlProps/ctrlProps5.xml"/>
</Relationships>
</file>

<file path=xl/worksheets/_rels/sheet4.xml.rels><?xml version="1.0" encoding="UTF-8"?>
<Relationships xmlns="http://schemas.openxmlformats.org/package/2006/relationships"><Relationship Id="rId1" Type="http://schemas.openxmlformats.org/officeDocument/2006/relationships/drawing" Target="../drawings/drawing6.xml"/>
</Relationships>
</file>

<file path=xl/worksheets/_rels/sheet5.xml.rels><?xml version="1.0" encoding="UTF-8"?>
<Relationships xmlns="http://schemas.openxmlformats.org/package/2006/relationships"><Relationship Id="rId1" Type="http://schemas.openxmlformats.org/officeDocument/2006/relationships/drawing" Target="../drawings/drawing7.xml"/><Relationship Id="rId2" Type="http://schemas.openxmlformats.org/officeDocument/2006/relationships/vmlDrawing" Target="../drawings/vmlDrawing3.vml"/><Relationship Id="rId3" Type="http://schemas.openxmlformats.org/officeDocument/2006/relationships/ctrlProp" Target="../ctrlProps/ctrlProps8.xml"/>
</Relationships>
</file>

<file path=xl/worksheets/_rels/sheet7.xml.rels><?xml version="1.0" encoding="UTF-8"?>
<Relationships xmlns="http://schemas.openxmlformats.org/package/2006/relationships"><Relationship Id="rId1" Type="http://schemas.openxmlformats.org/officeDocument/2006/relationships/drawing" Target="../drawings/drawing9.xml"/>
</Relationships>
</file>

<file path=xl/worksheets/_rels/sheet8.xml.rels><?xml version="1.0" encoding="UTF-8"?>
<Relationships xmlns="http://schemas.openxmlformats.org/package/2006/relationships"><Relationship Id="rId1" Type="http://schemas.openxmlformats.org/officeDocument/2006/relationships/drawing" Target="../drawings/drawing10.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N68"/>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B2" activeCellId="0" sqref="B2"/>
    </sheetView>
  </sheetViews>
  <sheetFormatPr defaultColWidth="8.5390625" defaultRowHeight="14.25" zeroHeight="false" outlineLevelRow="0" outlineLevelCol="0"/>
  <cols>
    <col collapsed="false" customWidth="true" hidden="false" outlineLevel="0" max="14" min="14" style="0" width="24.33"/>
  </cols>
  <sheetData>
    <row r="1" customFormat="false" ht="14.25" hidden="false" customHeight="false" outlineLevel="0" collapsed="false">
      <c r="A1" s="0" t="s">
        <v>0</v>
      </c>
      <c r="B1" s="1" t="n">
        <v>4.43</v>
      </c>
      <c r="C1" s="0" t="s">
        <v>1</v>
      </c>
      <c r="N1" s="2" t="s">
        <v>2</v>
      </c>
    </row>
    <row r="2" customFormat="false" ht="14.25" hidden="false" customHeight="false" outlineLevel="0" collapsed="false">
      <c r="A2" s="0" t="s">
        <v>3</v>
      </c>
      <c r="B2" s="1" t="n">
        <v>5</v>
      </c>
      <c r="C2" s="0" t="s">
        <v>4</v>
      </c>
    </row>
    <row r="3" customFormat="false" ht="14.25" hidden="false" customHeight="false" outlineLevel="0" collapsed="false">
      <c r="A3" s="0" t="s">
        <v>5</v>
      </c>
      <c r="B3" s="1" t="n">
        <v>16</v>
      </c>
    </row>
    <row r="4" customFormat="false" ht="14.25" hidden="false" customHeight="false" outlineLevel="0" collapsed="false">
      <c r="A4" s="0" t="s">
        <v>6</v>
      </c>
      <c r="B4" s="1" t="n">
        <v>100</v>
      </c>
      <c r="C4" s="0" t="s">
        <v>7</v>
      </c>
    </row>
    <row r="5" customFormat="false" ht="14.25" hidden="false" customHeight="false" outlineLevel="0" collapsed="false">
      <c r="A5" s="0" t="s">
        <v>8</v>
      </c>
      <c r="B5" s="1" t="n">
        <v>1023</v>
      </c>
      <c r="C5" s="0" t="s">
        <v>9</v>
      </c>
    </row>
    <row r="7" customFormat="false" ht="14.25" hidden="false" customHeight="false" outlineLevel="0" collapsed="false">
      <c r="A7" s="0" t="s">
        <v>10</v>
      </c>
      <c r="B7" s="0" t="s">
        <v>11</v>
      </c>
      <c r="C7" s="0" t="s">
        <v>12</v>
      </c>
      <c r="D7" s="0" t="s">
        <v>13</v>
      </c>
      <c r="E7" s="0" t="s">
        <v>14</v>
      </c>
      <c r="J7" s="0" t="s">
        <v>15</v>
      </c>
      <c r="K7" s="0" t="s">
        <v>16</v>
      </c>
    </row>
    <row r="8" customFormat="false" ht="13.8" hidden="false" customHeight="false" outlineLevel="0" collapsed="false">
      <c r="A8" s="3" t="n">
        <v>0</v>
      </c>
      <c r="B8" s="4" t="n">
        <f aca="false">K8*$B$4</f>
        <v>324.32</v>
      </c>
      <c r="C8" s="0" t="n">
        <f aca="false">B8*$B$2/(B8+$B$1)</f>
        <v>4.93262357414449</v>
      </c>
      <c r="D8" s="0" t="n">
        <f aca="false">(C8/$B$2*$B$5)</f>
        <v>1009.21478326996</v>
      </c>
      <c r="E8" s="3" t="n">
        <f aca="false">ROUND(D8*$B$3,0)</f>
        <v>16147</v>
      </c>
      <c r="J8" s="1" t="n">
        <v>0</v>
      </c>
      <c r="K8" s="1" t="n">
        <f aca="false">L8/100</f>
        <v>3.2432</v>
      </c>
      <c r="L8" s="2" t="n">
        <v>324.32</v>
      </c>
      <c r="M8" s="2" t="s">
        <v>17</v>
      </c>
    </row>
    <row r="9" customFormat="false" ht="13.8" hidden="false" customHeight="false" outlineLevel="0" collapsed="false">
      <c r="A9" s="3" t="n">
        <v>5</v>
      </c>
      <c r="B9" s="4" t="n">
        <f aca="false">K9*$B$4</f>
        <v>252.7</v>
      </c>
      <c r="C9" s="0" t="n">
        <f aca="false">B9*$B$2/(B9+$B$1)</f>
        <v>4.91385680395131</v>
      </c>
      <c r="D9" s="0" t="n">
        <f aca="false">(C9/$B$2*$B$5)</f>
        <v>1005.37510208844</v>
      </c>
      <c r="E9" s="3" t="n">
        <f aca="false">ROUND(D9*$B$3,0)</f>
        <v>16086</v>
      </c>
      <c r="J9" s="1" t="n">
        <v>5</v>
      </c>
      <c r="K9" s="1" t="n">
        <f aca="false">L9/100</f>
        <v>2.527</v>
      </c>
      <c r="L9" s="0" t="n">
        <v>252.7</v>
      </c>
      <c r="N9" s="1" t="s">
        <v>18</v>
      </c>
    </row>
    <row r="10" customFormat="false" ht="13.8" hidden="false" customHeight="false" outlineLevel="0" collapsed="false">
      <c r="A10" s="3" t="n">
        <v>10</v>
      </c>
      <c r="B10" s="4" t="n">
        <f aca="false">K10*$B$4</f>
        <v>198.37</v>
      </c>
      <c r="C10" s="0" t="n">
        <f aca="false">B10*$B$2/(B10+$B$1)</f>
        <v>4.89077909270217</v>
      </c>
      <c r="D10" s="0" t="n">
        <f aca="false">(C10/$B$2*$B$5)</f>
        <v>1000.65340236686</v>
      </c>
      <c r="E10" s="3" t="n">
        <f aca="false">ROUND(D10*$B$3,0)</f>
        <v>16010</v>
      </c>
      <c r="J10" s="1" t="n">
        <v>10</v>
      </c>
      <c r="K10" s="1" t="n">
        <f aca="false">L10/100</f>
        <v>1.9837</v>
      </c>
      <c r="L10" s="0" t="n">
        <v>198.37</v>
      </c>
      <c r="N10" s="1" t="s">
        <v>19</v>
      </c>
    </row>
    <row r="11" customFormat="false" ht="13.8" hidden="false" customHeight="false" outlineLevel="0" collapsed="false">
      <c r="A11" s="3" t="n">
        <v>15</v>
      </c>
      <c r="B11" s="4" t="n">
        <f aca="false">K11*$B$4</f>
        <v>156.84</v>
      </c>
      <c r="C11" s="0" t="n">
        <f aca="false">B11*$B$2/(B11+$B$1)</f>
        <v>4.86265269423947</v>
      </c>
      <c r="D11" s="0" t="n">
        <f aca="false">(C11/$B$2*$B$5)</f>
        <v>994.898741241397</v>
      </c>
      <c r="E11" s="3" t="n">
        <f aca="false">ROUND(D11*$B$3,0)</f>
        <v>15918</v>
      </c>
      <c r="J11" s="1" t="n">
        <v>15</v>
      </c>
      <c r="K11" s="1" t="n">
        <f aca="false">L11/100</f>
        <v>1.5684</v>
      </c>
      <c r="L11" s="0" t="n">
        <v>156.84</v>
      </c>
      <c r="N11" s="1" t="s">
        <v>20</v>
      </c>
    </row>
    <row r="12" customFormat="false" ht="13.8" hidden="false" customHeight="false" outlineLevel="0" collapsed="false">
      <c r="A12" s="3" t="n">
        <v>20</v>
      </c>
      <c r="B12" s="4" t="n">
        <f aca="false">K12*$B$4</f>
        <v>124.83</v>
      </c>
      <c r="C12" s="0" t="n">
        <f aca="false">B12*$B$2/(B12+$B$1)</f>
        <v>4.82863995048739</v>
      </c>
      <c r="D12" s="0" t="n">
        <f aca="false">(C12/$B$2*$B$5)</f>
        <v>987.93973386972</v>
      </c>
      <c r="E12" s="3" t="n">
        <f aca="false">ROUND(D12*$B$3,0)</f>
        <v>15807</v>
      </c>
      <c r="J12" s="1" t="n">
        <v>20</v>
      </c>
      <c r="K12" s="1" t="n">
        <f aca="false">L12/100</f>
        <v>1.2483</v>
      </c>
      <c r="L12" s="0" t="n">
        <v>124.83</v>
      </c>
    </row>
    <row r="13" customFormat="false" ht="13.8" hidden="false" customHeight="false" outlineLevel="0" collapsed="false">
      <c r="A13" s="3" t="n">
        <v>25</v>
      </c>
      <c r="B13" s="4" t="n">
        <f aca="false">K13*$B$4</f>
        <v>100</v>
      </c>
      <c r="C13" s="0" t="n">
        <f aca="false">B13*$B$2/(B13+$B$1)</f>
        <v>4.78789619841042</v>
      </c>
      <c r="D13" s="0" t="n">
        <f aca="false">(C13/$B$2*$B$5)</f>
        <v>979.603562194772</v>
      </c>
      <c r="E13" s="3" t="n">
        <f aca="false">ROUND(D13*$B$3,0)</f>
        <v>15674</v>
      </c>
      <c r="J13" s="1" t="n">
        <v>25</v>
      </c>
      <c r="K13" s="1" t="n">
        <f aca="false">L13/100</f>
        <v>1</v>
      </c>
      <c r="L13" s="0" t="n">
        <v>100</v>
      </c>
    </row>
    <row r="14" customFormat="false" ht="13.8" hidden="false" customHeight="false" outlineLevel="0" collapsed="false">
      <c r="A14" s="3" t="n">
        <v>30</v>
      </c>
      <c r="B14" s="4" t="n">
        <f aca="false">K14*$B$4</f>
        <v>80.63</v>
      </c>
      <c r="C14" s="0" t="n">
        <f aca="false">B14*$B$2/(B14+$B$1)</f>
        <v>4.73959557959088</v>
      </c>
      <c r="D14" s="0" t="n">
        <f aca="false">(C14/$B$2*$B$5)</f>
        <v>969.721255584294</v>
      </c>
      <c r="E14" s="3" t="n">
        <f aca="false">ROUND(D14*$B$3,0)</f>
        <v>15516</v>
      </c>
      <c r="J14" s="1" t="n">
        <v>30</v>
      </c>
      <c r="K14" s="1" t="n">
        <f aca="false">L14/100</f>
        <v>0.8063</v>
      </c>
      <c r="L14" s="0" t="n">
        <v>80.63</v>
      </c>
    </row>
    <row r="15" customFormat="false" ht="13.8" hidden="false" customHeight="false" outlineLevel="0" collapsed="false">
      <c r="A15" s="3" t="n">
        <v>35</v>
      </c>
      <c r="B15" s="4" t="n">
        <f aca="false">K15*$B$4</f>
        <v>65.39</v>
      </c>
      <c r="C15" s="0" t="n">
        <f aca="false">B15*$B$2/(B15+$B$1)</f>
        <v>4.68275565740476</v>
      </c>
      <c r="D15" s="0" t="n">
        <f aca="false">(C15/$B$2*$B$5)</f>
        <v>958.091807505013</v>
      </c>
      <c r="E15" s="3" t="n">
        <f aca="false">ROUND(D15*$B$3,0)</f>
        <v>15329</v>
      </c>
      <c r="J15" s="1" t="n">
        <v>35</v>
      </c>
      <c r="K15" s="1" t="n">
        <f aca="false">L15/100</f>
        <v>0.6539</v>
      </c>
      <c r="L15" s="0" t="n">
        <v>65.39</v>
      </c>
    </row>
    <row r="16" customFormat="false" ht="13.8" hidden="false" customHeight="false" outlineLevel="0" collapsed="false">
      <c r="A16" s="3" t="n">
        <v>40</v>
      </c>
      <c r="B16" s="4" t="n">
        <f aca="false">K16*$B$4</f>
        <v>53.31</v>
      </c>
      <c r="C16" s="0" t="n">
        <f aca="false">B16*$B$2/(B16+$B$1)</f>
        <v>4.61638378940076</v>
      </c>
      <c r="D16" s="0" t="n">
        <f aca="false">(C16/$B$2*$B$5)</f>
        <v>944.512123311396</v>
      </c>
      <c r="E16" s="3" t="n">
        <f aca="false">ROUND(D16*$B$3,0)</f>
        <v>15112</v>
      </c>
      <c r="J16" s="1" t="n">
        <v>40</v>
      </c>
      <c r="K16" s="1" t="n">
        <f aca="false">L16/100</f>
        <v>0.5331</v>
      </c>
      <c r="L16" s="0" t="n">
        <v>53.31</v>
      </c>
    </row>
    <row r="17" customFormat="false" ht="13.8" hidden="false" customHeight="false" outlineLevel="0" collapsed="false">
      <c r="A17" s="3" t="n">
        <v>45</v>
      </c>
      <c r="B17" s="4" t="n">
        <f aca="false">K17*$B$4</f>
        <v>43.69</v>
      </c>
      <c r="C17" s="0" t="n">
        <f aca="false">B17*$B$2/(B17+$B$1)</f>
        <v>4.53969243557772</v>
      </c>
      <c r="D17" s="0" t="n">
        <f aca="false">(C17/$B$2*$B$5)</f>
        <v>928.821072319202</v>
      </c>
      <c r="E17" s="3" t="n">
        <f aca="false">ROUND(D17*$B$3,0)</f>
        <v>14861</v>
      </c>
      <c r="J17" s="1" t="n">
        <v>45</v>
      </c>
      <c r="K17" s="1" t="n">
        <f aca="false">L17/100</f>
        <v>0.4369</v>
      </c>
      <c r="L17" s="0" t="n">
        <v>43.69</v>
      </c>
    </row>
    <row r="18" customFormat="false" ht="13.8" hidden="false" customHeight="false" outlineLevel="0" collapsed="false">
      <c r="A18" s="3" t="n">
        <v>50</v>
      </c>
      <c r="B18" s="4" t="n">
        <f aca="false">K18*$B$4</f>
        <v>35.98</v>
      </c>
      <c r="C18" s="0" t="n">
        <f aca="false">B18*$B$2/(B18+$B$1)</f>
        <v>4.45186834941846</v>
      </c>
      <c r="D18" s="0" t="n">
        <f aca="false">(C18/$B$2*$B$5)</f>
        <v>910.852264291017</v>
      </c>
      <c r="E18" s="3" t="n">
        <f aca="false">ROUND(D18*$B$3,0)</f>
        <v>14574</v>
      </c>
      <c r="J18" s="1" t="n">
        <v>50</v>
      </c>
      <c r="K18" s="1" t="n">
        <f aca="false">L18/100</f>
        <v>0.3598</v>
      </c>
      <c r="L18" s="0" t="n">
        <v>35.98</v>
      </c>
    </row>
    <row r="19" customFormat="false" ht="13.8" hidden="false" customHeight="false" outlineLevel="0" collapsed="false">
      <c r="A19" s="3" t="n">
        <v>55</v>
      </c>
      <c r="B19" s="4" t="n">
        <f aca="false">K19*$B$4</f>
        <v>29.78</v>
      </c>
      <c r="C19" s="0" t="n">
        <f aca="false">B19*$B$2/(B19+$B$1)</f>
        <v>4.35252850043847</v>
      </c>
      <c r="D19" s="0" t="n">
        <f aca="false">(C19/$B$2*$B$5)</f>
        <v>890.527331189711</v>
      </c>
      <c r="E19" s="3" t="n">
        <f aca="false">ROUND(D19*$B$3,0)</f>
        <v>14248</v>
      </c>
      <c r="J19" s="1" t="n">
        <v>55</v>
      </c>
      <c r="K19" s="1" t="n">
        <f aca="false">L19/100</f>
        <v>0.2978</v>
      </c>
      <c r="L19" s="0" t="n">
        <v>29.78</v>
      </c>
    </row>
    <row r="20" customFormat="false" ht="13.8" hidden="false" customHeight="false" outlineLevel="0" collapsed="false">
      <c r="A20" s="3" t="n">
        <v>60</v>
      </c>
      <c r="B20" s="4" t="n">
        <f aca="false">K20*$B$4</f>
        <v>24.75</v>
      </c>
      <c r="C20" s="0" t="n">
        <f aca="false">B20*$B$2/(B20+$B$1)</f>
        <v>4.24091843728581</v>
      </c>
      <c r="D20" s="0" t="n">
        <f aca="false">(C20/$B$2*$B$5)</f>
        <v>867.691912268677</v>
      </c>
      <c r="E20" s="3" t="n">
        <f aca="false">ROUND(D20*$B$3,0)</f>
        <v>13883</v>
      </c>
      <c r="J20" s="1" t="n">
        <v>60</v>
      </c>
      <c r="K20" s="1" t="n">
        <f aca="false">L20/100</f>
        <v>0.2475</v>
      </c>
      <c r="L20" s="0" t="n">
        <v>24.75</v>
      </c>
    </row>
    <row r="21" customFormat="false" ht="13.8" hidden="false" customHeight="false" outlineLevel="0" collapsed="false">
      <c r="A21" s="3" t="n">
        <v>65</v>
      </c>
      <c r="B21" s="4" t="n">
        <f aca="false">K21*$B$4</f>
        <v>20.66</v>
      </c>
      <c r="C21" s="0" t="n">
        <f aca="false">B21*$B$2/(B21+$B$1)</f>
        <v>4.11717815862894</v>
      </c>
      <c r="D21" s="0" t="n">
        <f aca="false">(C21/$B$2*$B$5)</f>
        <v>842.37465125548</v>
      </c>
      <c r="E21" s="3" t="n">
        <f aca="false">ROUND(D21*$B$3,0)</f>
        <v>13478</v>
      </c>
      <c r="J21" s="1" t="n">
        <v>65</v>
      </c>
      <c r="K21" s="1" t="n">
        <f aca="false">L21/100</f>
        <v>0.2066</v>
      </c>
      <c r="L21" s="0" t="n">
        <v>20.66</v>
      </c>
    </row>
    <row r="22" customFormat="false" ht="13.8" hidden="false" customHeight="false" outlineLevel="0" collapsed="false">
      <c r="A22" s="3" t="n">
        <v>70</v>
      </c>
      <c r="B22" s="4" t="n">
        <f aca="false">K22*$B$4</f>
        <v>17.32</v>
      </c>
      <c r="C22" s="0" t="n">
        <f aca="false">B22*$B$2/(B22+$B$1)</f>
        <v>3.9816091954023</v>
      </c>
      <c r="D22" s="0" t="n">
        <f aca="false">(C22/$B$2*$B$5)</f>
        <v>814.63724137931</v>
      </c>
      <c r="E22" s="3" t="n">
        <f aca="false">ROUND(D22*$B$3,0)</f>
        <v>13034</v>
      </c>
      <c r="J22" s="1" t="n">
        <v>70</v>
      </c>
      <c r="K22" s="1" t="n">
        <f aca="false">L22/100</f>
        <v>0.1732</v>
      </c>
      <c r="L22" s="0" t="n">
        <v>17.32</v>
      </c>
    </row>
    <row r="23" customFormat="false" ht="13.8" hidden="false" customHeight="false" outlineLevel="0" collapsed="false">
      <c r="A23" s="3" t="n">
        <v>75</v>
      </c>
      <c r="B23" s="4" t="n">
        <f aca="false">K23*$B$4</f>
        <v>14.57</v>
      </c>
      <c r="C23" s="0" t="n">
        <f aca="false">B23*$B$2/(B23+$B$1)</f>
        <v>3.83421052631579</v>
      </c>
      <c r="D23" s="0" t="n">
        <f aca="false">(C23/$B$2*$B$5)</f>
        <v>784.479473684211</v>
      </c>
      <c r="E23" s="3" t="n">
        <f aca="false">ROUND(D23*$B$3,0)</f>
        <v>12552</v>
      </c>
      <c r="J23" s="1" t="n">
        <v>75</v>
      </c>
      <c r="K23" s="1" t="n">
        <f aca="false">L23/100</f>
        <v>0.1457</v>
      </c>
      <c r="L23" s="0" t="n">
        <v>14.57</v>
      </c>
    </row>
    <row r="24" customFormat="false" ht="13.8" hidden="false" customHeight="false" outlineLevel="0" collapsed="false">
      <c r="A24" s="3" t="n">
        <v>80</v>
      </c>
      <c r="B24" s="4" t="n">
        <f aca="false">K24*$B$4</f>
        <v>12.31</v>
      </c>
      <c r="C24" s="0" t="n">
        <f aca="false">B24*$B$2/(B24+$B$1)</f>
        <v>3.6768219832736</v>
      </c>
      <c r="D24" s="0" t="n">
        <f aca="false">(C24/$B$2*$B$5)</f>
        <v>752.277777777778</v>
      </c>
      <c r="E24" s="3" t="n">
        <f aca="false">ROUND(D24*$B$3,0)</f>
        <v>12036</v>
      </c>
      <c r="J24" s="1" t="n">
        <v>80</v>
      </c>
      <c r="K24" s="1" t="n">
        <f aca="false">L24/100</f>
        <v>0.1231</v>
      </c>
      <c r="L24" s="0" t="n">
        <v>12.31</v>
      </c>
    </row>
    <row r="25" customFormat="false" ht="13.8" hidden="false" customHeight="false" outlineLevel="0" collapsed="false">
      <c r="A25" s="3" t="n">
        <v>85</v>
      </c>
      <c r="B25" s="4" t="n">
        <f aca="false">K25*$B$4</f>
        <v>10.43</v>
      </c>
      <c r="C25" s="0" t="n">
        <f aca="false">B25*$B$2/(B25+$B$1)</f>
        <v>3.50942126514132</v>
      </c>
      <c r="D25" s="0" t="n">
        <f aca="false">(C25/$B$2*$B$5)</f>
        <v>718.027590847914</v>
      </c>
      <c r="E25" s="3" t="n">
        <f aca="false">ROUND(D25*$B$3,0)</f>
        <v>11488</v>
      </c>
      <c r="J25" s="1" t="n">
        <v>85</v>
      </c>
      <c r="K25" s="1" t="n">
        <f aca="false">L25/100</f>
        <v>0.1043</v>
      </c>
      <c r="L25" s="0" t="n">
        <v>10.43</v>
      </c>
    </row>
    <row r="26" customFormat="false" ht="13.8" hidden="false" customHeight="false" outlineLevel="0" collapsed="false">
      <c r="A26" s="3" t="n">
        <v>90</v>
      </c>
      <c r="B26" s="4" t="n">
        <f aca="false">K26*$B$4</f>
        <v>8.86</v>
      </c>
      <c r="C26" s="0" t="n">
        <f aca="false">B26*$B$2/(B26+$B$1)</f>
        <v>3.33333333333333</v>
      </c>
      <c r="D26" s="0" t="n">
        <f aca="false">(C26/$B$2*$B$5)</f>
        <v>682</v>
      </c>
      <c r="E26" s="3" t="n">
        <f aca="false">ROUND(D26*$B$3,0)</f>
        <v>10912</v>
      </c>
      <c r="J26" s="1" t="n">
        <v>90</v>
      </c>
      <c r="K26" s="1" t="n">
        <f aca="false">L26/100</f>
        <v>0.0886</v>
      </c>
      <c r="L26" s="0" t="n">
        <v>8.86</v>
      </c>
    </row>
    <row r="27" customFormat="false" ht="13.8" hidden="false" customHeight="false" outlineLevel="0" collapsed="false">
      <c r="A27" s="3" t="n">
        <v>95</v>
      </c>
      <c r="B27" s="4" t="n">
        <f aca="false">K27*$B$4</f>
        <v>7.55</v>
      </c>
      <c r="C27" s="0" t="n">
        <f aca="false">B27*$B$2/(B27+$B$1)</f>
        <v>3.15108514190317</v>
      </c>
      <c r="D27" s="0" t="n">
        <f aca="false">(C27/$B$2*$B$5)</f>
        <v>644.712020033389</v>
      </c>
      <c r="E27" s="3" t="n">
        <f aca="false">ROUND(D27*$B$3,0)</f>
        <v>10315</v>
      </c>
      <c r="J27" s="1" t="n">
        <v>95</v>
      </c>
      <c r="K27" s="1" t="n">
        <f aca="false">L27/100</f>
        <v>0.0755</v>
      </c>
      <c r="L27" s="0" t="n">
        <v>7.55</v>
      </c>
    </row>
    <row r="28" customFormat="false" ht="13.8" hidden="false" customHeight="false" outlineLevel="0" collapsed="false">
      <c r="A28" s="3" t="n">
        <v>100</v>
      </c>
      <c r="B28" s="4" t="n">
        <f aca="false">K28*$B$4</f>
        <v>6.45</v>
      </c>
      <c r="C28" s="0" t="n">
        <f aca="false">B28*$B$2/(B28+$B$1)</f>
        <v>2.96415441176471</v>
      </c>
      <c r="D28" s="0" t="n">
        <f aca="false">(C28/$B$2*$B$5)</f>
        <v>606.465992647059</v>
      </c>
      <c r="E28" s="3" t="n">
        <f aca="false">ROUND(D28*$B$3,0)</f>
        <v>9703</v>
      </c>
      <c r="J28" s="1" t="n">
        <v>100</v>
      </c>
      <c r="K28" s="1" t="n">
        <f aca="false">L28/100</f>
        <v>0.0645</v>
      </c>
      <c r="L28" s="0" t="n">
        <v>6.45</v>
      </c>
    </row>
    <row r="29" customFormat="false" ht="13.8" hidden="false" customHeight="false" outlineLevel="0" collapsed="false">
      <c r="A29" s="3" t="n">
        <v>105</v>
      </c>
      <c r="B29" s="4" t="n">
        <f aca="false">K29*$B$4</f>
        <v>5.53</v>
      </c>
      <c r="C29" s="0" t="n">
        <f aca="false">B29*$B$2/(B29+$B$1)</f>
        <v>2.77610441767068</v>
      </c>
      <c r="D29" s="0" t="n">
        <f aca="false">(C29/$B$2*$B$5)</f>
        <v>567.990963855422</v>
      </c>
      <c r="E29" s="3" t="n">
        <f aca="false">ROUND(D29*$B$3,0)</f>
        <v>9088</v>
      </c>
      <c r="J29" s="1" t="n">
        <v>105</v>
      </c>
      <c r="K29" s="1" t="n">
        <f aca="false">L29/100</f>
        <v>0.0553</v>
      </c>
      <c r="L29" s="0" t="n">
        <v>5.53</v>
      </c>
    </row>
    <row r="30" customFormat="false" ht="13.8" hidden="false" customHeight="false" outlineLevel="0" collapsed="false">
      <c r="A30" s="3" t="n">
        <v>110</v>
      </c>
      <c r="B30" s="4" t="n">
        <f aca="false">K30*$B$4</f>
        <v>4.751</v>
      </c>
      <c r="C30" s="0" t="n">
        <f aca="false">B30*$B$2/(B30+$B$1)</f>
        <v>2.58740877900011</v>
      </c>
      <c r="D30" s="0" t="n">
        <f aca="false">(C30/$B$2*$B$5)</f>
        <v>529.383836183422</v>
      </c>
      <c r="E30" s="3" t="n">
        <f aca="false">ROUND(D30*$B$3,0)</f>
        <v>8470</v>
      </c>
      <c r="J30" s="1" t="n">
        <v>110</v>
      </c>
      <c r="K30" s="1" t="n">
        <f aca="false">L30/100</f>
        <v>0.04751</v>
      </c>
      <c r="L30" s="0" t="n">
        <v>4.751</v>
      </c>
    </row>
    <row r="31" customFormat="false" ht="13.8" hidden="false" customHeight="false" outlineLevel="0" collapsed="false">
      <c r="A31" s="3" t="n">
        <v>115</v>
      </c>
      <c r="B31" s="4" t="n">
        <f aca="false">K31*$B$4</f>
        <v>4.0931</v>
      </c>
      <c r="C31" s="0" t="n">
        <f aca="false">B31*$B$2/(B31+$B$1)</f>
        <v>2.40118032171393</v>
      </c>
      <c r="D31" s="0" t="n">
        <f aca="false">(C31/$B$2*$B$5)</f>
        <v>491.28149382267</v>
      </c>
      <c r="E31" s="3" t="n">
        <f aca="false">ROUND(D31*$B$3,0)</f>
        <v>7861</v>
      </c>
      <c r="J31" s="1" t="n">
        <v>115</v>
      </c>
      <c r="K31" s="1" t="n">
        <f aca="false">L31/100</f>
        <v>0.040931</v>
      </c>
      <c r="L31" s="0" t="n">
        <v>4.0931</v>
      </c>
    </row>
    <row r="32" customFormat="false" ht="13.8" hidden="false" customHeight="false" outlineLevel="0" collapsed="false">
      <c r="A32" s="3" t="n">
        <v>120</v>
      </c>
      <c r="B32" s="4" t="n">
        <f aca="false">K32*$B$4</f>
        <v>3.5348</v>
      </c>
      <c r="C32" s="0" t="n">
        <f aca="false">B32*$B$2/(B32+$B$1)</f>
        <v>2.21901366010446</v>
      </c>
      <c r="D32" s="0" t="n">
        <f aca="false">(C32/$B$2*$B$5)</f>
        <v>454.010194857373</v>
      </c>
      <c r="E32" s="3" t="n">
        <f aca="false">ROUND(D32*$B$3,0)</f>
        <v>7264</v>
      </c>
      <c r="J32" s="1" t="n">
        <v>120</v>
      </c>
      <c r="K32" s="1" t="n">
        <f aca="false">L32/100</f>
        <v>0.035348</v>
      </c>
      <c r="L32" s="0" t="n">
        <v>3.5348</v>
      </c>
    </row>
    <row r="33" customFormat="false" ht="13.8" hidden="false" customHeight="false" outlineLevel="0" collapsed="false">
      <c r="A33" s="3" t="n">
        <v>125</v>
      </c>
      <c r="B33" s="4" t="n">
        <f aca="false">K33*$B$4</f>
        <v>3.0602</v>
      </c>
      <c r="C33" s="0" t="n">
        <f aca="false">B33*$B$2/(B33+$B$1)</f>
        <v>2.04280259539131</v>
      </c>
      <c r="D33" s="0" t="n">
        <f aca="false">(C33/$B$2*$B$5)</f>
        <v>417.957411017062</v>
      </c>
      <c r="E33" s="3" t="n">
        <f aca="false">ROUND(D33*$B$3,0)</f>
        <v>6687</v>
      </c>
      <c r="J33" s="1" t="n">
        <v>125</v>
      </c>
      <c r="K33" s="1" t="n">
        <f aca="false">L33/100</f>
        <v>0.030602</v>
      </c>
      <c r="L33" s="0" t="n">
        <v>3.0602</v>
      </c>
    </row>
    <row r="34" customFormat="false" ht="13.8" hidden="false" customHeight="false" outlineLevel="0" collapsed="false">
      <c r="A34" s="3" t="n">
        <v>130</v>
      </c>
      <c r="B34" s="4" t="n">
        <f aca="false">K34*$B$4</f>
        <v>2.6554</v>
      </c>
      <c r="C34" s="0" t="n">
        <f aca="false">B34*$B$2/(B34+$B$1)</f>
        <v>1.87385327575013</v>
      </c>
      <c r="D34" s="0" t="n">
        <f aca="false">(C34/$B$2*$B$5)</f>
        <v>383.390380218477</v>
      </c>
      <c r="E34" s="3" t="n">
        <f aca="false">ROUND(D34*$B$3,0)</f>
        <v>6134</v>
      </c>
      <c r="J34" s="1" t="n">
        <v>130</v>
      </c>
      <c r="K34" s="1" t="n">
        <f aca="false">L34/100</f>
        <v>0.026554</v>
      </c>
      <c r="L34" s="0" t="n">
        <v>2.6554</v>
      </c>
    </row>
    <row r="35" customFormat="false" ht="13.8" hidden="false" customHeight="false" outlineLevel="0" collapsed="false">
      <c r="A35" s="3" t="n">
        <v>135</v>
      </c>
      <c r="B35" s="4" t="n">
        <f aca="false">K35*$B$4</f>
        <v>2.3095</v>
      </c>
      <c r="C35" s="0" t="n">
        <f aca="false">B35*$B$2/(B35+$B$1)</f>
        <v>1.71340603902367</v>
      </c>
      <c r="D35" s="0" t="n">
        <f aca="false">(C35/$B$2*$B$5)</f>
        <v>350.562875584242</v>
      </c>
      <c r="E35" s="3" t="n">
        <f aca="false">ROUND(D35*$B$3,0)</f>
        <v>5609</v>
      </c>
      <c r="J35" s="1" t="n">
        <v>135</v>
      </c>
      <c r="K35" s="1" t="n">
        <f aca="false">L35/100</f>
        <v>0.023095</v>
      </c>
      <c r="L35" s="0" t="n">
        <v>2.3095</v>
      </c>
    </row>
    <row r="36" customFormat="false" ht="13.8" hidden="false" customHeight="false" outlineLevel="0" collapsed="false">
      <c r="A36" s="3" t="n">
        <v>140</v>
      </c>
      <c r="B36" s="4" t="n">
        <f aca="false">K36*$B$4</f>
        <v>2.013</v>
      </c>
      <c r="C36" s="0" t="n">
        <f aca="false">B36*$B$2/(B36+$B$1)</f>
        <v>1.56216048424647</v>
      </c>
      <c r="D36" s="0" t="n">
        <f aca="false">(C36/$B$2*$B$5)</f>
        <v>319.618035076828</v>
      </c>
      <c r="E36" s="3" t="n">
        <f aca="false">ROUND(D36*$B$3,0)</f>
        <v>5114</v>
      </c>
      <c r="J36" s="1" t="n">
        <v>140</v>
      </c>
      <c r="K36" s="1" t="n">
        <f aca="false">L36/100</f>
        <v>0.02013</v>
      </c>
      <c r="L36" s="0" t="n">
        <v>2.013</v>
      </c>
    </row>
    <row r="37" customFormat="false" ht="13.8" hidden="false" customHeight="false" outlineLevel="0" collapsed="false">
      <c r="A37" s="3" t="n">
        <v>145</v>
      </c>
      <c r="B37" s="4" t="n">
        <f aca="false">K37*$B$4</f>
        <v>1.7582</v>
      </c>
      <c r="C37" s="0" t="n">
        <f aca="false">B37*$B$2/(B37+$B$1)</f>
        <v>1.42060696163666</v>
      </c>
      <c r="D37" s="0" t="n">
        <f aca="false">(C37/$B$2*$B$5)</f>
        <v>290.656184350861</v>
      </c>
      <c r="E37" s="3" t="n">
        <f aca="false">ROUND(D37*$B$3,0)</f>
        <v>4650</v>
      </c>
      <c r="J37" s="1" t="n">
        <v>145</v>
      </c>
      <c r="K37" s="1" t="n">
        <f aca="false">L37/100</f>
        <v>0.017582</v>
      </c>
      <c r="L37" s="0" t="n">
        <v>1.7582</v>
      </c>
    </row>
    <row r="38" customFormat="false" ht="13.8" hidden="false" customHeight="false" outlineLevel="0" collapsed="false">
      <c r="A38" s="3" t="n">
        <v>150</v>
      </c>
      <c r="B38" s="4" t="n">
        <f aca="false">K38*$B$4</f>
        <v>1.5388</v>
      </c>
      <c r="C38" s="0" t="n">
        <f aca="false">B38*$B$2/(B38+$B$1)</f>
        <v>1.28903632220882</v>
      </c>
      <c r="D38" s="0" t="n">
        <f aca="false">(C38/$B$2*$B$5)</f>
        <v>263.736831523924</v>
      </c>
      <c r="E38" s="3" t="n">
        <f aca="false">ROUND(D38*$B$3,0)</f>
        <v>4220</v>
      </c>
      <c r="J38" s="1" t="n">
        <v>150</v>
      </c>
      <c r="K38" s="1" t="n">
        <f aca="false">L38/100</f>
        <v>0.015388</v>
      </c>
      <c r="L38" s="0" t="n">
        <v>1.5388</v>
      </c>
    </row>
    <row r="39" customFormat="false" ht="13.8" hidden="false" customHeight="false" outlineLevel="0" collapsed="false">
      <c r="A39" s="3" t="n">
        <v>155</v>
      </c>
      <c r="B39" s="4" t="n">
        <f aca="false">K39*$B$4</f>
        <v>1.3568</v>
      </c>
      <c r="C39" s="0" t="n">
        <f aca="false">B39*$B$2/(B39+$B$1)</f>
        <v>1.17232321835902</v>
      </c>
      <c r="D39" s="0" t="n">
        <f aca="false">(C39/$B$2*$B$5)</f>
        <v>239.857330476256</v>
      </c>
      <c r="E39" s="3" t="n">
        <f aca="false">ROUND(D39*$B$3,0)</f>
        <v>3838</v>
      </c>
      <c r="J39" s="1" t="n">
        <v>155</v>
      </c>
      <c r="K39" s="1" t="n">
        <f aca="false">L39/100</f>
        <v>0.013568</v>
      </c>
      <c r="L39" s="0" t="n">
        <v>1.3568</v>
      </c>
    </row>
    <row r="40" customFormat="false" ht="13.8" hidden="false" customHeight="false" outlineLevel="0" collapsed="false">
      <c r="A40" s="3" t="n">
        <v>160</v>
      </c>
      <c r="B40" s="4" t="n">
        <f aca="false">K40*$B$4</f>
        <v>1.1989</v>
      </c>
      <c r="C40" s="0" t="n">
        <f aca="false">B40*$B$2/(B40+$B$1)</f>
        <v>1.06495052319281</v>
      </c>
      <c r="D40" s="0" t="n">
        <f aca="false">(C40/$B$2*$B$5)</f>
        <v>217.888877045249</v>
      </c>
      <c r="E40" s="3" t="n">
        <f aca="false">ROUND(D40*$B$3,0)</f>
        <v>3486</v>
      </c>
      <c r="J40" s="1" t="n">
        <v>160</v>
      </c>
      <c r="K40" s="1" t="n">
        <f aca="false">L40/100</f>
        <v>0.011989</v>
      </c>
      <c r="L40" s="0" t="n">
        <v>1.1989</v>
      </c>
    </row>
    <row r="41" customFormat="false" ht="13.8" hidden="false" customHeight="false" outlineLevel="0" collapsed="false">
      <c r="A41" s="3" t="n">
        <v>165</v>
      </c>
      <c r="B41" s="4" t="n">
        <f aca="false">K41*$B$4</f>
        <v>1.0617</v>
      </c>
      <c r="C41" s="0" t="n">
        <f aca="false">B41*$B$2/(B41+$B$1)</f>
        <v>0.966640566673344</v>
      </c>
      <c r="D41" s="0" t="n">
        <f aca="false">(C41/$B$2*$B$5)</f>
        <v>197.774659941366</v>
      </c>
      <c r="E41" s="3" t="n">
        <f aca="false">ROUND(D41*$B$3,0)</f>
        <v>3164</v>
      </c>
      <c r="J41" s="1" t="n">
        <v>165</v>
      </c>
      <c r="K41" s="1" t="n">
        <f aca="false">L41/100</f>
        <v>0.010617</v>
      </c>
      <c r="L41" s="0" t="n">
        <v>1.0617</v>
      </c>
    </row>
    <row r="42" customFormat="false" ht="13.8" hidden="false" customHeight="false" outlineLevel="0" collapsed="false">
      <c r="A42" s="3" t="n">
        <v>170</v>
      </c>
      <c r="B42" s="4" t="n">
        <f aca="false">K42*$B$4</f>
        <v>0.942</v>
      </c>
      <c r="C42" s="0" t="n">
        <f aca="false">B42*$B$2/(B42+$B$1)</f>
        <v>0.876768428890544</v>
      </c>
      <c r="D42" s="0" t="n">
        <f aca="false">(C42/$B$2*$B$5)</f>
        <v>179.386820551005</v>
      </c>
      <c r="E42" s="3" t="n">
        <f aca="false">ROUND(D42*$B$3,0)</f>
        <v>2870</v>
      </c>
      <c r="J42" s="1" t="n">
        <v>170</v>
      </c>
      <c r="K42" s="1" t="n">
        <f aca="false">L42/100</f>
        <v>0.00942</v>
      </c>
      <c r="L42" s="0" t="n">
        <v>0.942</v>
      </c>
    </row>
    <row r="43" customFormat="false" ht="13.8" hidden="false" customHeight="false" outlineLevel="0" collapsed="false">
      <c r="A43" s="3" t="n">
        <v>175</v>
      </c>
      <c r="B43" s="4" t="n">
        <f aca="false">K43*$B$4</f>
        <v>0.8374</v>
      </c>
      <c r="C43" s="0" t="n">
        <f aca="false">B43*$B$2/(B43+$B$1)</f>
        <v>0.794889319208718</v>
      </c>
      <c r="D43" s="0" t="n">
        <f aca="false">(C43/$B$2*$B$5)</f>
        <v>162.634354710104</v>
      </c>
      <c r="E43" s="3" t="n">
        <f aca="false">ROUND(D43*$B$3,0)</f>
        <v>2602</v>
      </c>
      <c r="J43" s="1" t="n">
        <v>175</v>
      </c>
      <c r="K43" s="1" t="n">
        <f aca="false">L43/100</f>
        <v>0.008374</v>
      </c>
      <c r="L43" s="0" t="n">
        <v>0.8374</v>
      </c>
    </row>
    <row r="44" customFormat="false" ht="13.8" hidden="false" customHeight="false" outlineLevel="0" collapsed="false">
      <c r="A44" s="3" t="n">
        <v>180</v>
      </c>
      <c r="B44" s="4" t="n">
        <f aca="false">K44*$B$4</f>
        <v>0.7459</v>
      </c>
      <c r="C44" s="0" t="n">
        <f aca="false">B44*$B$2/(B44+$B$1)</f>
        <v>0.720551015282366</v>
      </c>
      <c r="D44" s="0" t="n">
        <f aca="false">(C44/$B$2*$B$5)</f>
        <v>147.424737726772</v>
      </c>
      <c r="E44" s="3" t="n">
        <f aca="false">ROUND(D44*$B$3,0)</f>
        <v>2359</v>
      </c>
      <c r="J44" s="1" t="n">
        <v>180</v>
      </c>
      <c r="K44" s="1" t="n">
        <f aca="false">L44/100</f>
        <v>0.007459</v>
      </c>
      <c r="L44" s="0" t="n">
        <v>0.7459</v>
      </c>
    </row>
    <row r="45" customFormat="false" ht="13.8" hidden="false" customHeight="false" outlineLevel="0" collapsed="false">
      <c r="A45" s="3" t="n">
        <v>185</v>
      </c>
      <c r="B45" s="4" t="n">
        <f aca="false">K45*$B$4</f>
        <v>0.6657</v>
      </c>
      <c r="C45" s="0" t="n">
        <f aca="false">B45*$B$2/(B45+$B$1)</f>
        <v>0.653197794218655</v>
      </c>
      <c r="D45" s="0" t="n">
        <f aca="false">(C45/$B$2*$B$5)</f>
        <v>133.644268697137</v>
      </c>
      <c r="E45" s="3" t="n">
        <f aca="false">ROUND(D45*$B$3,0)</f>
        <v>2138</v>
      </c>
      <c r="J45" s="1" t="n">
        <v>185</v>
      </c>
      <c r="K45" s="1" t="n">
        <f aca="false">L45/100</f>
        <v>0.006657</v>
      </c>
      <c r="L45" s="0" t="n">
        <v>0.6657</v>
      </c>
    </row>
    <row r="46" customFormat="false" ht="13.8" hidden="false" customHeight="false" outlineLevel="0" collapsed="false">
      <c r="A46" s="3" t="n">
        <v>190</v>
      </c>
      <c r="B46" s="4" t="n">
        <f aca="false">K46*$B$4</f>
        <v>0.5951</v>
      </c>
      <c r="C46" s="0" t="n">
        <f aca="false">B46*$B$2/(B46+$B$1)</f>
        <v>0.592127519850351</v>
      </c>
      <c r="D46" s="0" t="n">
        <f aca="false">(C46/$B$2*$B$5)</f>
        <v>121.149290561382</v>
      </c>
      <c r="E46" s="3" t="n">
        <f aca="false">ROUND(D46*$B$3,0)</f>
        <v>1938</v>
      </c>
      <c r="J46" s="1" t="n">
        <v>190</v>
      </c>
      <c r="K46" s="1" t="n">
        <f aca="false">L46/100</f>
        <v>0.005951</v>
      </c>
      <c r="L46" s="0" t="n">
        <v>0.5951</v>
      </c>
    </row>
    <row r="47" customFormat="false" ht="13.8" hidden="false" customHeight="false" outlineLevel="0" collapsed="false">
      <c r="A47" s="3" t="n">
        <v>195</v>
      </c>
      <c r="B47" s="4" t="n">
        <f aca="false">K47*$B$4</f>
        <v>0.5329</v>
      </c>
      <c r="C47" s="0" t="n">
        <f aca="false">B47*$B$2/(B47+$B$1)</f>
        <v>0.536883676882468</v>
      </c>
      <c r="D47" s="0" t="n">
        <f aca="false">(C47/$B$2*$B$5)</f>
        <v>109.846400290153</v>
      </c>
      <c r="E47" s="3" t="n">
        <f aca="false">ROUND(D47*$B$3,0)</f>
        <v>1758</v>
      </c>
      <c r="J47" s="1" t="n">
        <v>195</v>
      </c>
      <c r="K47" s="1" t="n">
        <f aca="false">L47/100</f>
        <v>0.005329</v>
      </c>
      <c r="L47" s="0" t="n">
        <v>0.5329</v>
      </c>
    </row>
    <row r="48" customFormat="false" ht="13.8" hidden="false" customHeight="false" outlineLevel="0" collapsed="false">
      <c r="A48" s="3" t="n">
        <v>200</v>
      </c>
      <c r="B48" s="4" t="n">
        <f aca="false">K48*$B$4</f>
        <v>0.478</v>
      </c>
      <c r="C48" s="0" t="n">
        <f aca="false">B48*$B$2/(B48+$B$1)</f>
        <v>0.486960065199674</v>
      </c>
      <c r="D48" s="0" t="n">
        <f aca="false">(C48/$B$2*$B$5)</f>
        <v>99.6320293398533</v>
      </c>
      <c r="E48" s="3" t="n">
        <f aca="false">ROUND(D48*$B$3,0)</f>
        <v>1594</v>
      </c>
      <c r="J48" s="1" t="n">
        <v>200</v>
      </c>
      <c r="K48" s="1" t="n">
        <f aca="false">L48/100</f>
        <v>0.00478</v>
      </c>
      <c r="L48" s="0" t="n">
        <v>0.478</v>
      </c>
    </row>
    <row r="49" customFormat="false" ht="13.8" hidden="false" customHeight="false" outlineLevel="0" collapsed="false">
      <c r="A49" s="3" t="n">
        <v>205</v>
      </c>
      <c r="B49" s="4" t="n">
        <f aca="false">K49*$B$4</f>
        <v>0.4294</v>
      </c>
      <c r="C49" s="0" t="n">
        <f aca="false">B49*$B$2/(B49+$B$1)</f>
        <v>0.441824093509487</v>
      </c>
      <c r="D49" s="0" t="n">
        <f aca="false">(C49/$B$2*$B$5)</f>
        <v>90.397209532041</v>
      </c>
      <c r="E49" s="3" t="n">
        <f aca="false">ROUND(D49*$B$3,0)</f>
        <v>1446</v>
      </c>
      <c r="J49" s="1" t="n">
        <v>205</v>
      </c>
      <c r="K49" s="1" t="n">
        <f aca="false">L49/100</f>
        <v>0.004294</v>
      </c>
      <c r="L49" s="0" t="n">
        <v>0.4294</v>
      </c>
    </row>
    <row r="50" customFormat="false" ht="13.8" hidden="false" customHeight="false" outlineLevel="0" collapsed="false">
      <c r="A50" s="3" t="n">
        <v>210</v>
      </c>
      <c r="B50" s="4" t="n">
        <f aca="false">K50*$B$4</f>
        <v>0.3864</v>
      </c>
      <c r="C50" s="0" t="n">
        <f aca="false">B50*$B$2/(B50+$B$1)</f>
        <v>0.401129474296155</v>
      </c>
      <c r="D50" s="0" t="n">
        <f aca="false">(C50/$B$2*$B$5)</f>
        <v>82.0710904409933</v>
      </c>
      <c r="E50" s="3" t="n">
        <f aca="false">ROUND(D50*$B$3,0)</f>
        <v>1313</v>
      </c>
      <c r="J50" s="1" t="n">
        <v>210</v>
      </c>
      <c r="K50" s="1" t="n">
        <f aca="false">L50/100</f>
        <v>0.003864</v>
      </c>
      <c r="L50" s="0" t="n">
        <v>0.3864</v>
      </c>
    </row>
    <row r="51" customFormat="false" ht="13.8" hidden="false" customHeight="false" outlineLevel="0" collapsed="false">
      <c r="A51" s="3" t="n">
        <v>215</v>
      </c>
      <c r="B51" s="4" t="n">
        <f aca="false">K51*$B$4</f>
        <v>0.3483</v>
      </c>
      <c r="C51" s="0" t="n">
        <f aca="false">B51*$B$2/(B51+$B$1)</f>
        <v>0.364460163656531</v>
      </c>
      <c r="D51" s="0" t="n">
        <f aca="false">(C51/$B$2*$B$5)</f>
        <v>74.5685494841262</v>
      </c>
      <c r="E51" s="3" t="n">
        <f aca="false">ROUND(D51*$B$3,0)</f>
        <v>1193</v>
      </c>
      <c r="J51" s="1" t="n">
        <v>215</v>
      </c>
      <c r="K51" s="1" t="n">
        <f aca="false">L51/100</f>
        <v>0.003483</v>
      </c>
      <c r="L51" s="0" t="n">
        <v>0.3483</v>
      </c>
    </row>
    <row r="52" customFormat="false" ht="13.8" hidden="false" customHeight="false" outlineLevel="0" collapsed="false">
      <c r="A52" s="3" t="n">
        <v>220</v>
      </c>
      <c r="B52" s="4" t="n">
        <f aca="false">K52*$B$4</f>
        <v>0.3142</v>
      </c>
      <c r="C52" s="0" t="n">
        <f aca="false">B52*$B$2/(B52+$B$1)</f>
        <v>0.331141182918089</v>
      </c>
      <c r="D52" s="0" t="n">
        <f aca="false">(C52/$B$2*$B$5)</f>
        <v>67.7514860250411</v>
      </c>
      <c r="E52" s="3" t="n">
        <f aca="false">ROUND(D52*$B$3,0)</f>
        <v>1084</v>
      </c>
      <c r="J52" s="1" t="n">
        <v>220</v>
      </c>
      <c r="K52" s="1" t="n">
        <f aca="false">L52/100</f>
        <v>0.003142</v>
      </c>
      <c r="L52" s="0" t="n">
        <v>0.3142</v>
      </c>
    </row>
    <row r="53" customFormat="false" ht="13.8" hidden="false" customHeight="false" outlineLevel="0" collapsed="false">
      <c r="A53" s="3" t="n">
        <v>225</v>
      </c>
      <c r="B53" s="4" t="n">
        <f aca="false">K53*$B$4</f>
        <v>0.284</v>
      </c>
      <c r="C53" s="0" t="n">
        <f aca="false">B53*$B$2/(B53+$B$1)</f>
        <v>0.301230377598642</v>
      </c>
      <c r="D53" s="0" t="n">
        <f aca="false">(C53/$B$2*$B$5)</f>
        <v>61.6317352566822</v>
      </c>
      <c r="E53" s="3" t="n">
        <f aca="false">ROUND(D53*$B$3,0)</f>
        <v>986</v>
      </c>
      <c r="J53" s="1" t="n">
        <v>225</v>
      </c>
      <c r="K53" s="1" t="n">
        <f aca="false">L53/100</f>
        <v>0.00284</v>
      </c>
      <c r="L53" s="0" t="n">
        <v>0.284</v>
      </c>
    </row>
    <row r="54" customFormat="false" ht="13.8" hidden="false" customHeight="false" outlineLevel="0" collapsed="false">
      <c r="A54" s="3" t="n">
        <v>230</v>
      </c>
      <c r="B54" s="4" t="n">
        <f aca="false">K54*$B$4</f>
        <v>0.2571</v>
      </c>
      <c r="C54" s="0" t="n">
        <f aca="false">B54*$B$2/(B54+$B$1)</f>
        <v>0.274263403810458</v>
      </c>
      <c r="D54" s="0" t="n">
        <f aca="false">(C54/$B$2*$B$5)</f>
        <v>56.1142924196198</v>
      </c>
      <c r="E54" s="3" t="n">
        <f aca="false">ROUND(D54*$B$3,0)</f>
        <v>898</v>
      </c>
      <c r="J54" s="1" t="n">
        <v>230</v>
      </c>
      <c r="K54" s="1" t="n">
        <f aca="false">L54/100</f>
        <v>0.002571</v>
      </c>
      <c r="L54" s="0" t="n">
        <v>0.2571</v>
      </c>
    </row>
    <row r="55" customFormat="false" ht="13.8" hidden="false" customHeight="false" outlineLevel="0" collapsed="false">
      <c r="A55" s="3" t="n">
        <v>235</v>
      </c>
      <c r="B55" s="4" t="n">
        <f aca="false">K55*$B$4</f>
        <v>0.233</v>
      </c>
      <c r="C55" s="0" t="n">
        <f aca="false">B55*$B$2/(B55+$B$1)</f>
        <v>0.249839159339481</v>
      </c>
      <c r="D55" s="0" t="n">
        <f aca="false">(C55/$B$2*$B$5)</f>
        <v>51.1170920008578</v>
      </c>
      <c r="E55" s="3" t="n">
        <f aca="false">ROUND(D55*$B$3,0)</f>
        <v>818</v>
      </c>
      <c r="J55" s="1" t="n">
        <v>235</v>
      </c>
      <c r="K55" s="1" t="n">
        <f aca="false">L55/100</f>
        <v>0.00233</v>
      </c>
      <c r="L55" s="0" t="n">
        <v>0.233</v>
      </c>
    </row>
    <row r="56" customFormat="false" ht="13.8" hidden="false" customHeight="false" outlineLevel="0" collapsed="false">
      <c r="A56" s="3" t="n">
        <v>240</v>
      </c>
      <c r="B56" s="4" t="n">
        <f aca="false">K56*$B$4</f>
        <v>0.2115</v>
      </c>
      <c r="C56" s="0" t="n">
        <f aca="false">B56*$B$2/(B56+$B$1)</f>
        <v>0.227835828934612</v>
      </c>
      <c r="D56" s="0" t="n">
        <f aca="false">(C56/$B$2*$B$5)</f>
        <v>46.6152106000216</v>
      </c>
      <c r="E56" s="3" t="n">
        <f aca="false">ROUND(D56*$B$3,0)</f>
        <v>746</v>
      </c>
      <c r="J56" s="1" t="n">
        <v>240</v>
      </c>
      <c r="K56" s="1" t="n">
        <f aca="false">L56/100</f>
        <v>0.002115</v>
      </c>
      <c r="L56" s="0" t="n">
        <v>0.2115</v>
      </c>
    </row>
    <row r="57" customFormat="false" ht="13.8" hidden="false" customHeight="false" outlineLevel="0" collapsed="false">
      <c r="A57" s="3" t="n">
        <v>245</v>
      </c>
      <c r="B57" s="4" t="n">
        <f aca="false">K57*$B$4</f>
        <v>0.1921</v>
      </c>
      <c r="C57" s="0" t="n">
        <f aca="false">B57*$B$2/(B57+$B$1)</f>
        <v>0.207805975638779</v>
      </c>
      <c r="D57" s="0" t="n">
        <f aca="false">(C57/$B$2*$B$5)</f>
        <v>42.5171026156942</v>
      </c>
      <c r="E57" s="3" t="n">
        <f aca="false">ROUND(D57*$B$3,0)</f>
        <v>680</v>
      </c>
      <c r="J57" s="1" t="n">
        <v>245</v>
      </c>
      <c r="K57" s="1" t="n">
        <f aca="false">L57/100</f>
        <v>0.001921</v>
      </c>
      <c r="L57" s="0" t="n">
        <v>0.1921</v>
      </c>
    </row>
    <row r="58" customFormat="false" ht="13.8" hidden="false" customHeight="false" outlineLevel="0" collapsed="false">
      <c r="A58" s="3" t="n">
        <v>250</v>
      </c>
      <c r="B58" s="4" t="n">
        <f aca="false">K58*$B$4</f>
        <v>0.1747</v>
      </c>
      <c r="C58" s="0" t="n">
        <f aca="false">B58*$B$2/(B58+$B$1)</f>
        <v>0.189697483006493</v>
      </c>
      <c r="D58" s="0" t="n">
        <f aca="false">(C58/$B$2*$B$5)</f>
        <v>38.8121050231286</v>
      </c>
      <c r="E58" s="3" t="n">
        <f aca="false">ROUND(D58*$B$3,0)</f>
        <v>621</v>
      </c>
      <c r="J58" s="1" t="n">
        <v>250</v>
      </c>
      <c r="K58" s="1" t="n">
        <f aca="false">L58/100</f>
        <v>0.001747</v>
      </c>
      <c r="L58" s="0" t="n">
        <v>0.1747</v>
      </c>
    </row>
    <row r="59" customFormat="false" ht="13.8" hidden="false" customHeight="false" outlineLevel="0" collapsed="false">
      <c r="A59" s="3" t="n">
        <v>255</v>
      </c>
      <c r="B59" s="4" t="n">
        <f aca="false">K59*$B$4</f>
        <v>0.1592</v>
      </c>
      <c r="C59" s="0" t="n">
        <f aca="false">B59*$B$2/(B59+$B$1)</f>
        <v>0.173450710363462</v>
      </c>
      <c r="D59" s="0" t="n">
        <f aca="false">(C59/$B$2*$B$5)</f>
        <v>35.4880153403643</v>
      </c>
      <c r="E59" s="3" t="n">
        <f aca="false">ROUND(D59*$B$3,0)</f>
        <v>568</v>
      </c>
      <c r="J59" s="1" t="n">
        <v>255</v>
      </c>
      <c r="K59" s="1" t="n">
        <f aca="false">L59/100</f>
        <v>0.001592</v>
      </c>
      <c r="L59" s="0" t="n">
        <v>0.1592</v>
      </c>
    </row>
    <row r="60" customFormat="false" ht="13.8" hidden="false" customHeight="false" outlineLevel="0" collapsed="false">
      <c r="A60" s="3" t="n">
        <v>260</v>
      </c>
      <c r="B60" s="4" t="n">
        <f aca="false">K60*$B$4</f>
        <v>0.1451</v>
      </c>
      <c r="C60" s="0" t="n">
        <f aca="false">B60*$B$2/(B60+$B$1)</f>
        <v>0.158575768835654</v>
      </c>
      <c r="D60" s="0" t="n">
        <f aca="false">(C60/$B$2*$B$5)</f>
        <v>32.4446023037748</v>
      </c>
      <c r="E60" s="3" t="n">
        <f aca="false">ROUND(D60*$B$3,0)</f>
        <v>519</v>
      </c>
      <c r="J60" s="1" t="n">
        <v>260</v>
      </c>
      <c r="K60" s="1" t="n">
        <f aca="false">L60/100</f>
        <v>0.001451</v>
      </c>
      <c r="L60" s="0" t="n">
        <v>0.1451</v>
      </c>
    </row>
    <row r="61" customFormat="false" ht="13.8" hidden="false" customHeight="false" outlineLevel="0" collapsed="false">
      <c r="A61" s="3" t="n">
        <v>265</v>
      </c>
      <c r="B61" s="4" t="n">
        <f aca="false">K61*$B$4</f>
        <v>0.1325</v>
      </c>
      <c r="C61" s="0" t="n">
        <f aca="false">B61*$B$2/(B61+$B$1)</f>
        <v>0.145205479452055</v>
      </c>
      <c r="D61" s="0" t="n">
        <f aca="false">(C61/$B$2*$B$5)</f>
        <v>29.7090410958904</v>
      </c>
      <c r="E61" s="3" t="n">
        <f aca="false">ROUND(D61*$B$3,0)</f>
        <v>475</v>
      </c>
      <c r="J61" s="1" t="n">
        <v>265</v>
      </c>
      <c r="K61" s="1" t="n">
        <f aca="false">L61/100</f>
        <v>0.001325</v>
      </c>
      <c r="L61" s="0" t="n">
        <v>0.1325</v>
      </c>
    </row>
    <row r="62" customFormat="false" ht="13.8" hidden="false" customHeight="false" outlineLevel="0" collapsed="false">
      <c r="A62" s="3" t="n">
        <v>270</v>
      </c>
      <c r="B62" s="4" t="n">
        <f aca="false">K62*$B$4</f>
        <v>0.121</v>
      </c>
      <c r="C62" s="0" t="n">
        <f aca="false">B62*$B$2/(B62+$B$1)</f>
        <v>0.132937815864645</v>
      </c>
      <c r="D62" s="0" t="n">
        <f aca="false">(C62/$B$2*$B$5)</f>
        <v>27.1990771259064</v>
      </c>
      <c r="E62" s="3" t="n">
        <f aca="false">ROUND(D62*$B$3,0)</f>
        <v>435</v>
      </c>
      <c r="J62" s="1" t="n">
        <v>270</v>
      </c>
      <c r="K62" s="1" t="n">
        <f aca="false">L62/100</f>
        <v>0.00121</v>
      </c>
      <c r="L62" s="0" t="n">
        <v>0.121</v>
      </c>
    </row>
    <row r="63" customFormat="false" ht="13.8" hidden="false" customHeight="false" outlineLevel="0" collapsed="false">
      <c r="A63" s="3" t="n">
        <v>275</v>
      </c>
      <c r="B63" s="4" t="n">
        <f aca="false">K63*$B$4</f>
        <v>0.1108</v>
      </c>
      <c r="C63" s="0" t="n">
        <f aca="false">B63*$B$2/(B63+$B$1)</f>
        <v>0.122004933051445</v>
      </c>
      <c r="D63" s="0" t="n">
        <f aca="false">(C63/$B$2*$B$5)</f>
        <v>24.9622093023256</v>
      </c>
      <c r="E63" s="3" t="n">
        <f aca="false">ROUND(D63*$B$3,0)</f>
        <v>399</v>
      </c>
      <c r="J63" s="1" t="n">
        <v>275</v>
      </c>
      <c r="K63" s="1" t="n">
        <f aca="false">L63/100</f>
        <v>0.001108</v>
      </c>
      <c r="L63" s="0" t="n">
        <v>0.1108</v>
      </c>
    </row>
    <row r="64" customFormat="false" ht="13.8" hidden="false" customHeight="false" outlineLevel="0" collapsed="false">
      <c r="A64" s="3" t="n">
        <v>280</v>
      </c>
      <c r="B64" s="4" t="n">
        <f aca="false">K64*$B$4</f>
        <v>0.1014</v>
      </c>
      <c r="C64" s="0" t="n">
        <f aca="false">B64*$B$2/(B64+$B$1)</f>
        <v>0.11188595136161</v>
      </c>
      <c r="D64" s="0" t="n">
        <f aca="false">(C64/$B$2*$B$5)</f>
        <v>22.8918656485854</v>
      </c>
      <c r="E64" s="3" t="n">
        <f aca="false">ROUND(D64*$B$3,0)</f>
        <v>366</v>
      </c>
      <c r="J64" s="1" t="n">
        <v>280</v>
      </c>
      <c r="K64" s="1" t="n">
        <f aca="false">L64/100</f>
        <v>0.001014</v>
      </c>
      <c r="L64" s="0" t="n">
        <v>0.1014</v>
      </c>
    </row>
    <row r="65" customFormat="false" ht="13.8" hidden="false" customHeight="false" outlineLevel="0" collapsed="false">
      <c r="A65" s="3" t="n">
        <v>285</v>
      </c>
      <c r="B65" s="4" t="n">
        <f aca="false">K65*$B$4</f>
        <v>0.093</v>
      </c>
      <c r="C65" s="0" t="n">
        <f aca="false">B65*$B$2/(B65+$B$1)</f>
        <v>0.102807870882158</v>
      </c>
      <c r="D65" s="0" t="n">
        <f aca="false">(C65/$B$2*$B$5)</f>
        <v>21.0344903824895</v>
      </c>
      <c r="E65" s="3" t="n">
        <f aca="false">ROUND(D65*$B$3,0)</f>
        <v>337</v>
      </c>
      <c r="J65" s="1" t="n">
        <v>285</v>
      </c>
      <c r="K65" s="1" t="n">
        <f aca="false">L65/100</f>
        <v>0.00093</v>
      </c>
      <c r="L65" s="0" t="n">
        <v>0.093</v>
      </c>
    </row>
    <row r="66" customFormat="false" ht="13.8" hidden="false" customHeight="false" outlineLevel="0" collapsed="false">
      <c r="A66" s="3" t="n">
        <v>290</v>
      </c>
      <c r="B66" s="4" t="n">
        <f aca="false">K66*$B$4</f>
        <v>0.0853</v>
      </c>
      <c r="C66" s="0" t="n">
        <f aca="false">B66*$B$2/(B66+$B$1)</f>
        <v>0.0944566252519213</v>
      </c>
      <c r="D66" s="0" t="n">
        <f aca="false">(C66/$B$2*$B$5)</f>
        <v>19.3258255265431</v>
      </c>
      <c r="E66" s="3" t="n">
        <f aca="false">ROUND(D66*$B$3,0)</f>
        <v>309</v>
      </c>
      <c r="J66" s="1" t="n">
        <v>290</v>
      </c>
      <c r="K66" s="1" t="n">
        <f aca="false">L66/100</f>
        <v>0.000853</v>
      </c>
      <c r="L66" s="0" t="n">
        <v>0.0853</v>
      </c>
    </row>
    <row r="67" customFormat="false" ht="13.8" hidden="false" customHeight="false" outlineLevel="0" collapsed="false">
      <c r="A67" s="3" t="n">
        <v>295</v>
      </c>
      <c r="B67" s="4" t="n">
        <f aca="false">K67*$B$4</f>
        <v>0.0783</v>
      </c>
      <c r="C67" s="0" t="n">
        <f aca="false">B67*$B$2/(B67+$B$1)</f>
        <v>0.0868398287602866</v>
      </c>
      <c r="D67" s="0" t="n">
        <f aca="false">(C67/$B$2*$B$5)</f>
        <v>17.7674289643546</v>
      </c>
      <c r="E67" s="3" t="n">
        <f aca="false">ROUND(D67*$B$3,0)</f>
        <v>284</v>
      </c>
      <c r="J67" s="1" t="n">
        <v>295</v>
      </c>
      <c r="K67" s="1" t="n">
        <f aca="false">L67/100</f>
        <v>0.000783</v>
      </c>
      <c r="L67" s="0" t="n">
        <v>0.0783</v>
      </c>
    </row>
    <row r="68" customFormat="false" ht="13.8" hidden="false" customHeight="false" outlineLevel="0" collapsed="false">
      <c r="A68" s="3" t="n">
        <v>300</v>
      </c>
      <c r="B68" s="4" t="n">
        <f aca="false">K68*$B$4</f>
        <v>0.072</v>
      </c>
      <c r="C68" s="0" t="n">
        <f aca="false">B68*$B$2/(B68+$B$1)</f>
        <v>0.0799644602398934</v>
      </c>
      <c r="D68" s="0" t="n">
        <f aca="false">(C68/$B$2*$B$5)</f>
        <v>16.3607285650822</v>
      </c>
      <c r="E68" s="3" t="n">
        <f aca="false">ROUND(D68*$B$3,0)</f>
        <v>262</v>
      </c>
      <c r="J68" s="1" t="n">
        <v>300</v>
      </c>
      <c r="K68" s="1" t="n">
        <f aca="false">L68/100</f>
        <v>0.00072</v>
      </c>
      <c r="L68" s="0" t="n">
        <v>0.072</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1">
              <controlPr defaultSize="0" print="false" autoFill="0" autoPict="0" macro="Module1.export_marlin_table">
                <anchor moveWithCells="true" sizeWithCells="false">
                  <from>
                    <xdr:col>13</xdr:col>
                    <xdr:colOff>266760</xdr:colOff>
                    <xdr:row>1</xdr:row>
                    <xdr:rowOff>104760</xdr:rowOff>
                  </from>
                  <to>
                    <xdr:col>14</xdr:col>
                    <xdr:colOff>-372240</xdr:colOff>
                    <xdr:row>3</xdr:row>
                    <xdr:rowOff>28440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0" activeCellId="0" sqref="A10"/>
    </sheetView>
  </sheetViews>
  <sheetFormatPr defaultColWidth="8.5390625" defaultRowHeight="14.25" zeroHeight="false" outlineLevelRow="0" outlineLevelCol="0"/>
  <cols>
    <col collapsed="false" customWidth="true" hidden="false" outlineLevel="0" max="1" min="1" style="0" width="119.11"/>
  </cols>
  <sheetData>
    <row r="1" customFormat="false" ht="42.75" hidden="false" customHeight="false" outlineLevel="0" collapsed="false">
      <c r="A1" s="5" t="s">
        <v>21</v>
      </c>
    </row>
    <row r="2" customFormat="false" ht="14.25" hidden="false" customHeight="false" outlineLevel="0" collapsed="false">
      <c r="A2" s="5" t="s">
        <v>22</v>
      </c>
    </row>
    <row r="3" customFormat="false" ht="42.75" hidden="false" customHeight="false" outlineLevel="0" collapsed="false">
      <c r="A3" s="5" t="s">
        <v>23</v>
      </c>
    </row>
    <row r="4" customFormat="false" ht="14.25" hidden="false" customHeight="false" outlineLevel="0" collapsed="false">
      <c r="A4" s="5" t="s">
        <v>24</v>
      </c>
    </row>
    <row r="5" customFormat="false" ht="42.75" hidden="false" customHeight="false" outlineLevel="0" collapsed="false">
      <c r="A5" s="5" t="s">
        <v>25</v>
      </c>
    </row>
    <row r="6" customFormat="false" ht="72" hidden="false" customHeight="false" outlineLevel="0" collapsed="false">
      <c r="A6" s="5" t="s">
        <v>26</v>
      </c>
    </row>
    <row r="7" customFormat="false" ht="28.5" hidden="false" customHeight="false" outlineLevel="0" collapsed="false">
      <c r="A7" s="5" t="s">
        <v>27</v>
      </c>
    </row>
    <row r="8" customFormat="false" ht="100.5" hidden="false" customHeight="false" outlineLevel="0" collapsed="false">
      <c r="A8" s="5" t="s">
        <v>28</v>
      </c>
    </row>
    <row r="9" customFormat="false" ht="42.75" hidden="false" customHeight="false" outlineLevel="0" collapsed="false">
      <c r="A9" s="5" t="s">
        <v>29</v>
      </c>
    </row>
    <row r="10" customFormat="false" ht="216" hidden="false" customHeight="false" outlineLevel="0" collapsed="false">
      <c r="A10" s="6" t="s">
        <v>30</v>
      </c>
    </row>
    <row r="11" customFormat="false" ht="14.25" hidden="false" customHeight="false" outlineLevel="0" collapsed="false">
      <c r="A11" s="5"/>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6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J12" activeCellId="0" sqref="J12"/>
    </sheetView>
  </sheetViews>
  <sheetFormatPr defaultColWidth="8.5390625" defaultRowHeight="14.25" zeroHeight="false" outlineLevelRow="0" outlineLevelCol="0"/>
  <cols>
    <col collapsed="false" customWidth="true" hidden="false" outlineLevel="0" max="1" min="1" style="0" width="15.89"/>
    <col collapsed="false" customWidth="true" hidden="false" outlineLevel="0" max="3" min="3" style="0" width="12"/>
  </cols>
  <sheetData>
    <row r="1" customFormat="false" ht="14.25" hidden="false" customHeight="false" outlineLevel="0" collapsed="false">
      <c r="A1" s="0" t="s">
        <v>31</v>
      </c>
      <c r="B1" s="1" t="n">
        <v>100</v>
      </c>
      <c r="C1" s="0" t="s">
        <v>1</v>
      </c>
      <c r="G1" s="0" t="s">
        <v>0</v>
      </c>
      <c r="H1" s="1" t="n">
        <v>4.7</v>
      </c>
      <c r="I1" s="0" t="s">
        <v>1</v>
      </c>
    </row>
    <row r="2" customFormat="false" ht="14.25" hidden="false" customHeight="false" outlineLevel="0" collapsed="false">
      <c r="A2" s="0" t="s">
        <v>32</v>
      </c>
      <c r="B2" s="1" t="n">
        <v>25</v>
      </c>
      <c r="C2" s="0" t="s">
        <v>33</v>
      </c>
      <c r="D2" s="0" t="n">
        <f aca="false">B2+273.15</f>
        <v>298.15</v>
      </c>
      <c r="E2" s="0" t="s">
        <v>34</v>
      </c>
      <c r="G2" s="0" t="s">
        <v>3</v>
      </c>
      <c r="H2" s="1" t="n">
        <v>5</v>
      </c>
      <c r="I2" s="0" t="s">
        <v>4</v>
      </c>
    </row>
    <row r="3" customFormat="false" ht="14.25" hidden="false" customHeight="false" outlineLevel="0" collapsed="false">
      <c r="A3" s="0" t="s">
        <v>35</v>
      </c>
      <c r="B3" s="1" t="n">
        <v>4092</v>
      </c>
      <c r="G3" s="0" t="s">
        <v>5</v>
      </c>
      <c r="H3" s="1" t="n">
        <v>16</v>
      </c>
    </row>
    <row r="4" customFormat="false" ht="14.25" hidden="false" customHeight="false" outlineLevel="0" collapsed="false">
      <c r="A4" s="0" t="s">
        <v>36</v>
      </c>
      <c r="B4" s="0" t="n">
        <v>100</v>
      </c>
      <c r="C4" s="0" t="s">
        <v>33</v>
      </c>
      <c r="D4" s="0" t="n">
        <f aca="false">B4+273.15</f>
        <v>373.15</v>
      </c>
      <c r="E4" s="0" t="s">
        <v>34</v>
      </c>
      <c r="G4" s="0" t="s">
        <v>6</v>
      </c>
      <c r="H4" s="1" t="n">
        <v>100</v>
      </c>
      <c r="I4" s="0" t="s">
        <v>7</v>
      </c>
    </row>
    <row r="5" customFormat="false" ht="14.25" hidden="false" customHeight="false" outlineLevel="0" collapsed="false">
      <c r="G5" s="0" t="s">
        <v>8</v>
      </c>
      <c r="H5" s="1" t="n">
        <v>1023</v>
      </c>
      <c r="I5" s="0" t="s">
        <v>9</v>
      </c>
    </row>
    <row r="7" customFormat="false" ht="14.25" hidden="false" customHeight="false" outlineLevel="0" collapsed="false">
      <c r="A7" s="0" t="s">
        <v>15</v>
      </c>
      <c r="B7" s="0" t="s">
        <v>37</v>
      </c>
      <c r="C7" s="0" t="s">
        <v>11</v>
      </c>
      <c r="D7" s="0" t="s">
        <v>12</v>
      </c>
      <c r="E7" s="0" t="s">
        <v>13</v>
      </c>
      <c r="F7" s="0" t="s">
        <v>14</v>
      </c>
    </row>
    <row r="8" customFormat="false" ht="14.25" hidden="false" customHeight="false" outlineLevel="0" collapsed="false">
      <c r="A8" s="3" t="n">
        <v>0</v>
      </c>
      <c r="B8" s="0" t="n">
        <f aca="false">A8+273.15</f>
        <v>273.15</v>
      </c>
      <c r="C8" s="4" t="n">
        <f aca="false">$B$1*EXP($B$3*((1/B8)-(1/$D$2)))</f>
        <v>351.185553628182</v>
      </c>
      <c r="D8" s="0" t="n">
        <f aca="false">C8*$H$2/(C8+$H$1)</f>
        <v>4.93396753602269</v>
      </c>
      <c r="E8" s="0" t="n">
        <f aca="false">(D8/$H$2*$H$5)</f>
        <v>1009.48975787024</v>
      </c>
      <c r="F8" s="3" t="n">
        <f aca="false">ROUND(E8*$H$3,0)</f>
        <v>16152</v>
      </c>
    </row>
    <row r="9" customFormat="false" ht="14.25" hidden="false" customHeight="false" outlineLevel="0" collapsed="false">
      <c r="A9" s="3" t="n">
        <v>5</v>
      </c>
      <c r="B9" s="0" t="n">
        <f aca="false">A9+273.15</f>
        <v>278.15</v>
      </c>
      <c r="C9" s="4" t="n">
        <f aca="false">$B$1*EXP($B$3*((1/B9)-(1/$D$2)))</f>
        <v>268.277406278595</v>
      </c>
      <c r="D9" s="0" t="n">
        <f aca="false">C9*$H$2/(C9+$H$1)</f>
        <v>4.91391228922435</v>
      </c>
      <c r="E9" s="0" t="n">
        <f aca="false">(D9/$H$2*$H$5)</f>
        <v>1005.3864543753</v>
      </c>
      <c r="F9" s="3" t="n">
        <f aca="false">ROUND(E9*$H$3,0)</f>
        <v>16086</v>
      </c>
    </row>
    <row r="10" customFormat="false" ht="14.25" hidden="false" customHeight="false" outlineLevel="0" collapsed="false">
      <c r="A10" s="3" t="n">
        <v>10</v>
      </c>
      <c r="B10" s="0" t="n">
        <f aca="false">A10+273.15</f>
        <v>283.15</v>
      </c>
      <c r="C10" s="4" t="n">
        <f aca="false">$B$1*EXP($B$3*((1/B10)-(1/$D$2)))</f>
        <v>206.90070228536</v>
      </c>
      <c r="D10" s="0" t="n">
        <f aca="false">C10*$H$2/(C10+$H$1)</f>
        <v>4.88894176746017</v>
      </c>
      <c r="E10" s="0" t="n">
        <f aca="false">(D10/$H$2*$H$5)</f>
        <v>1000.27748562235</v>
      </c>
      <c r="F10" s="3" t="n">
        <f aca="false">ROUND(E10*$H$3,0)</f>
        <v>16004</v>
      </c>
    </row>
    <row r="11" customFormat="false" ht="14.25" hidden="false" customHeight="false" outlineLevel="0" collapsed="false">
      <c r="A11" s="3" t="n">
        <v>15</v>
      </c>
      <c r="B11" s="0" t="n">
        <f aca="false">A11+273.15</f>
        <v>288.15</v>
      </c>
      <c r="C11" s="4" t="n">
        <f aca="false">$B$1*EXP($B$3*((1/B11)-(1/$D$2)))</f>
        <v>161.010881112158</v>
      </c>
      <c r="D11" s="0" t="n">
        <f aca="false">C11*$H$2/(C11+$H$1)</f>
        <v>4.8581867416172</v>
      </c>
      <c r="E11" s="0" t="n">
        <f aca="false">(D11/$H$2*$H$5)</f>
        <v>993.985007334879</v>
      </c>
      <c r="F11" s="3" t="n">
        <f aca="false">ROUND(E11*$H$3,0)</f>
        <v>15904</v>
      </c>
    </row>
    <row r="12" customFormat="false" ht="14.25" hidden="false" customHeight="false" outlineLevel="0" collapsed="false">
      <c r="A12" s="3" t="n">
        <v>20</v>
      </c>
      <c r="B12" s="0" t="n">
        <f aca="false">A12+273.15</f>
        <v>293.15</v>
      </c>
      <c r="C12" s="4" t="n">
        <f aca="false">$B$1*EXP($B$3*((1/B12)-(1/$D$2)))</f>
        <v>126.375690080327</v>
      </c>
      <c r="D12" s="0" t="n">
        <f aca="false">C12*$H$2/(C12+$H$1)</f>
        <v>4.82071427596072</v>
      </c>
      <c r="E12" s="0" t="n">
        <f aca="false">(D12/$H$2*$H$5)</f>
        <v>986.318140861563</v>
      </c>
      <c r="F12" s="3" t="n">
        <f aca="false">ROUND(E12*$H$3,0)</f>
        <v>15781</v>
      </c>
      <c r="J12" s="7" t="s">
        <v>38</v>
      </c>
    </row>
    <row r="13" customFormat="false" ht="14.25" hidden="false" customHeight="false" outlineLevel="0" collapsed="false">
      <c r="A13" s="3" t="n">
        <v>25</v>
      </c>
      <c r="B13" s="0" t="n">
        <f aca="false">A13+273.15</f>
        <v>298.15</v>
      </c>
      <c r="C13" s="4" t="n">
        <f aca="false">$B$1*EXP($B$3*((1/B13)-(1/$D$2)))</f>
        <v>100</v>
      </c>
      <c r="D13" s="0" t="n">
        <f aca="false">C13*$H$2/(C13+$H$1)</f>
        <v>4.77554918815664</v>
      </c>
      <c r="E13" s="0" t="n">
        <f aca="false">(D13/$H$2*$H$5)</f>
        <v>977.077363896848</v>
      </c>
      <c r="F13" s="3" t="n">
        <f aca="false">ROUND(E13*$H$3,0)</f>
        <v>15633</v>
      </c>
      <c r="J13" s="0" t="s">
        <v>39</v>
      </c>
    </row>
    <row r="14" customFormat="false" ht="14.25" hidden="false" customHeight="false" outlineLevel="0" collapsed="false">
      <c r="A14" s="3" t="n">
        <v>30</v>
      </c>
      <c r="B14" s="0" t="n">
        <f aca="false">A14+273.15</f>
        <v>303.15</v>
      </c>
      <c r="C14" s="4" t="n">
        <f aca="false">$B$1*EXP($B$3*((1/B14)-(1/$D$2)))</f>
        <v>79.7425339692958</v>
      </c>
      <c r="D14" s="0" t="n">
        <f aca="false">C14*$H$2/(C14+$H$1)</f>
        <v>4.72170423013899</v>
      </c>
      <c r="E14" s="0" t="n">
        <f aca="false">(D14/$H$2*$H$5)</f>
        <v>966.060685486437</v>
      </c>
      <c r="F14" s="3" t="n">
        <f aca="false">ROUND(E14*$H$3,0)</f>
        <v>15457</v>
      </c>
    </row>
    <row r="15" customFormat="false" ht="14.25" hidden="false" customHeight="false" outlineLevel="0" collapsed="false">
      <c r="A15" s="3" t="n">
        <v>35</v>
      </c>
      <c r="B15" s="0" t="n">
        <f aca="false">A15+273.15</f>
        <v>308.15</v>
      </c>
      <c r="C15" s="4" t="n">
        <f aca="false">$B$1*EXP($B$3*((1/B15)-(1/$D$2)))</f>
        <v>64.0575600653509</v>
      </c>
      <c r="D15" s="0" t="n">
        <f aca="false">C15*$H$2/(C15+$H$1)</f>
        <v>4.6582194019441</v>
      </c>
      <c r="E15" s="0" t="n">
        <f aca="false">(D15/$H$2*$H$5)</f>
        <v>953.071689637763</v>
      </c>
      <c r="F15" s="3" t="n">
        <f aca="false">ROUND(E15*$H$3,0)</f>
        <v>15249</v>
      </c>
    </row>
    <row r="16" customFormat="false" ht="14.25" hidden="false" customHeight="false" outlineLevel="0" collapsed="false">
      <c r="A16" s="3" t="n">
        <v>40</v>
      </c>
      <c r="B16" s="0" t="n">
        <f aca="false">A16+273.15</f>
        <v>313.15</v>
      </c>
      <c r="C16" s="4" t="n">
        <f aca="false">$B$1*EXP($B$3*((1/B16)-(1/$D$2)))</f>
        <v>51.8189087943652</v>
      </c>
      <c r="D16" s="0" t="n">
        <f aca="false">C16*$H$2/(C16+$H$1)</f>
        <v>4.5842099484705</v>
      </c>
      <c r="E16" s="0" t="n">
        <f aca="false">(D16/$H$2*$H$5)</f>
        <v>937.929355457065</v>
      </c>
      <c r="F16" s="3" t="n">
        <f aca="false">ROUND(E16*$H$3,0)</f>
        <v>15007</v>
      </c>
    </row>
    <row r="17" customFormat="false" ht="14.25" hidden="false" customHeight="false" outlineLevel="0" collapsed="false">
      <c r="A17" s="3" t="n">
        <v>45</v>
      </c>
      <c r="B17" s="0" t="n">
        <f aca="false">A17+273.15</f>
        <v>318.15</v>
      </c>
      <c r="C17" s="4" t="n">
        <f aca="false">$B$1*EXP($B$3*((1/B17)-(1/$D$2)))</f>
        <v>42.1988322816524</v>
      </c>
      <c r="D17" s="0" t="n">
        <f aca="false">C17*$H$2/(C17+$H$1)</f>
        <v>4.4989214260417</v>
      </c>
      <c r="E17" s="0" t="n">
        <f aca="false">(D17/$H$2*$H$5)</f>
        <v>920.479323768131</v>
      </c>
      <c r="F17" s="3" t="n">
        <f aca="false">ROUND(E17*$H$3,0)</f>
        <v>14728</v>
      </c>
    </row>
    <row r="18" customFormat="false" ht="14.25" hidden="false" customHeight="false" outlineLevel="0" collapsed="false">
      <c r="A18" s="3" t="n">
        <v>50</v>
      </c>
      <c r="B18" s="0" t="n">
        <f aca="false">A18+273.15</f>
        <v>323.15</v>
      </c>
      <c r="C18" s="4" t="n">
        <f aca="false">$B$1*EXP($B$3*((1/B18)-(1/$D$2)))</f>
        <v>34.5837875697168</v>
      </c>
      <c r="D18" s="0" t="n">
        <f aca="false">C18*$H$2/(C18+$H$1)</f>
        <v>4.40178884334168</v>
      </c>
      <c r="E18" s="0" t="n">
        <f aca="false">(D18/$H$2*$H$5)</f>
        <v>900.605997347708</v>
      </c>
      <c r="F18" s="3" t="n">
        <f aca="false">ROUND(E18*$H$3,0)</f>
        <v>14410</v>
      </c>
    </row>
    <row r="19" customFormat="false" ht="14.25" hidden="false" customHeight="false" outlineLevel="0" collapsed="false">
      <c r="A19" s="3" t="n">
        <v>55</v>
      </c>
      <c r="B19" s="0" t="n">
        <f aca="false">A19+273.15</f>
        <v>328.15</v>
      </c>
      <c r="C19" s="4" t="n">
        <f aca="false">$B$1*EXP($B$3*((1/B19)-(1/$D$2)))</f>
        <v>28.5153343508131</v>
      </c>
      <c r="D19" s="0" t="n">
        <f aca="false">C19*$H$2/(C19+$H$1)</f>
        <v>4.29249545550865</v>
      </c>
      <c r="E19" s="0" t="n">
        <f aca="false">(D19/$H$2*$H$5)</f>
        <v>878.244570197069</v>
      </c>
      <c r="F19" s="3" t="n">
        <f aca="false">ROUND(E19*$H$3,0)</f>
        <v>14052</v>
      </c>
    </row>
    <row r="20" customFormat="false" ht="14.25" hidden="false" customHeight="false" outlineLevel="0" collapsed="false">
      <c r="A20" s="3" t="n">
        <v>60</v>
      </c>
      <c r="B20" s="0" t="n">
        <f aca="false">A20+273.15</f>
        <v>333.15</v>
      </c>
      <c r="C20" s="4" t="n">
        <f aca="false">$B$1*EXP($B$3*((1/B20)-(1/$D$2)))</f>
        <v>23.6482815557837</v>
      </c>
      <c r="D20" s="0" t="n">
        <f aca="false">C20*$H$2/(C20+$H$1)</f>
        <v>4.17102558919641</v>
      </c>
      <c r="E20" s="0" t="n">
        <f aca="false">(D20/$H$2*$H$5)</f>
        <v>853.391835549586</v>
      </c>
      <c r="F20" s="3" t="n">
        <f aca="false">ROUND(E20*$H$3,0)</f>
        <v>13654</v>
      </c>
    </row>
    <row r="21" customFormat="false" ht="14.25" hidden="false" customHeight="false" outlineLevel="0" collapsed="false">
      <c r="A21" s="3" t="n">
        <v>65</v>
      </c>
      <c r="B21" s="0" t="n">
        <f aca="false">A21+273.15</f>
        <v>338.15</v>
      </c>
      <c r="C21" s="4" t="n">
        <f aca="false">$B$1*EXP($B$3*((1/B21)-(1/$D$2)))</f>
        <v>19.7207914599898</v>
      </c>
      <c r="D21" s="0" t="n">
        <f aca="false">C21*$H$2/(C21+$H$1)</f>
        <v>4.03770522595463</v>
      </c>
      <c r="E21" s="0" t="n">
        <f aca="false">(D21/$H$2*$H$5)</f>
        <v>826.114489230317</v>
      </c>
      <c r="F21" s="3" t="n">
        <f aca="false">ROUND(E21*$H$3,0)</f>
        <v>13218</v>
      </c>
    </row>
    <row r="22" customFormat="false" ht="14.25" hidden="false" customHeight="false" outlineLevel="0" collapsed="false">
      <c r="A22" s="3" t="n">
        <v>70</v>
      </c>
      <c r="B22" s="0" t="n">
        <f aca="false">A22+273.15</f>
        <v>343.15</v>
      </c>
      <c r="C22" s="4" t="n">
        <f aca="false">$B$1*EXP($B$3*((1/B22)-(1/$D$2)))</f>
        <v>16.532847448931</v>
      </c>
      <c r="D22" s="0" t="n">
        <f aca="false">C22*$H$2/(C22+$H$1)</f>
        <v>3.89322428108044</v>
      </c>
      <c r="E22" s="0" t="n">
        <f aca="false">(D22/$H$2*$H$5)</f>
        <v>796.553687909057</v>
      </c>
      <c r="F22" s="3" t="n">
        <f aca="false">ROUND(E22*$H$3,0)</f>
        <v>12745</v>
      </c>
    </row>
    <row r="23" customFormat="false" ht="14.25" hidden="false" customHeight="false" outlineLevel="0" collapsed="false">
      <c r="A23" s="3" t="n">
        <v>75</v>
      </c>
      <c r="B23" s="0" t="n">
        <f aca="false">A23+273.15</f>
        <v>348.15</v>
      </c>
      <c r="C23" s="4" t="n">
        <f aca="false">$B$1*EXP($B$3*((1/B23)-(1/$D$2)))</f>
        <v>13.9306219863424</v>
      </c>
      <c r="D23" s="0" t="n">
        <f aca="false">C23*$H$2/(C23+$H$1)</f>
        <v>3.73863577838533</v>
      </c>
      <c r="E23" s="0" t="n">
        <f aca="false">(D23/$H$2*$H$5)</f>
        <v>764.924880257638</v>
      </c>
      <c r="F23" s="3" t="n">
        <f aca="false">ROUND(E23*$H$3,0)</f>
        <v>12239</v>
      </c>
    </row>
    <row r="24" customFormat="false" ht="14.25" hidden="false" customHeight="false" outlineLevel="0" collapsed="false">
      <c r="A24" s="3" t="n">
        <v>80</v>
      </c>
      <c r="B24" s="0" t="n">
        <f aca="false">A24+273.15</f>
        <v>353.15</v>
      </c>
      <c r="C24" s="4" t="n">
        <f aca="false">$B$1*EXP($B$3*((1/B24)-(1/$D$2)))</f>
        <v>11.7950412281682</v>
      </c>
      <c r="D24" s="0" t="n">
        <f aca="false">C24*$H$2/(C24+$H$1)</f>
        <v>3.57532941719057</v>
      </c>
      <c r="E24" s="0" t="n">
        <f aca="false">(D24/$H$2*$H$5)</f>
        <v>731.51239875719</v>
      </c>
      <c r="F24" s="3" t="n">
        <f aca="false">ROUND(E24*$H$3,0)</f>
        <v>11704</v>
      </c>
    </row>
    <row r="25" customFormat="false" ht="14.25" hidden="false" customHeight="false" outlineLevel="0" collapsed="false">
      <c r="A25" s="3" t="n">
        <v>85</v>
      </c>
      <c r="B25" s="0" t="n">
        <f aca="false">A25+273.15</f>
        <v>358.15</v>
      </c>
      <c r="C25" s="4" t="n">
        <f aca="false">$B$1*EXP($B$3*((1/B25)-(1/$D$2)))</f>
        <v>10.0333582098498</v>
      </c>
      <c r="D25" s="0" t="n">
        <f aca="false">C25*$H$2/(C25+$H$1)</f>
        <v>3.40498006867916</v>
      </c>
      <c r="E25" s="0" t="n">
        <f aca="false">(D25/$H$2*$H$5)</f>
        <v>696.658922051756</v>
      </c>
      <c r="F25" s="3" t="n">
        <f aca="false">ROUND(E25*$H$3,0)</f>
        <v>11147</v>
      </c>
    </row>
    <row r="26" customFormat="false" ht="14.25" hidden="false" customHeight="false" outlineLevel="0" collapsed="false">
      <c r="A26" s="3" t="n">
        <v>90</v>
      </c>
      <c r="B26" s="0" t="n">
        <f aca="false">A26+273.15</f>
        <v>363.15</v>
      </c>
      <c r="C26" s="4" t="n">
        <f aca="false">$B$1*EXP($B$3*((1/B26)-(1/$D$2)))</f>
        <v>8.57289927299807</v>
      </c>
      <c r="D26" s="0" t="n">
        <f aca="false">C26*$H$2/(C26+$H$1)</f>
        <v>3.22947499889436</v>
      </c>
      <c r="E26" s="0" t="n">
        <f aca="false">(D26/$H$2*$H$5)</f>
        <v>660.750584773785</v>
      </c>
      <c r="F26" s="3" t="n">
        <f aca="false">ROUND(E26*$H$3,0)</f>
        <v>10572</v>
      </c>
    </row>
    <row r="27" customFormat="false" ht="14.25" hidden="false" customHeight="false" outlineLevel="0" collapsed="false">
      <c r="A27" s="3" t="n">
        <v>95</v>
      </c>
      <c r="B27" s="0" t="n">
        <f aca="false">A27+273.15</f>
        <v>368.15</v>
      </c>
      <c r="C27" s="4" t="n">
        <f aca="false">$B$1*EXP($B$3*((1/B27)-(1/$D$2)))</f>
        <v>7.35639179949626</v>
      </c>
      <c r="D27" s="0" t="n">
        <f aca="false">C27*$H$2/(C27+$H$1)</f>
        <v>3.05082645033302</v>
      </c>
      <c r="E27" s="0" t="n">
        <f aca="false">(D27/$H$2*$H$5)</f>
        <v>624.199091738136</v>
      </c>
      <c r="F27" s="3" t="n">
        <f aca="false">ROUND(E27*$H$3,0)</f>
        <v>9987</v>
      </c>
    </row>
    <row r="28" customFormat="false" ht="14.25" hidden="false" customHeight="false" outlineLevel="0" collapsed="false">
      <c r="A28" s="3" t="n">
        <v>100</v>
      </c>
      <c r="B28" s="0" t="n">
        <f aca="false">A28+273.15</f>
        <v>373.15</v>
      </c>
      <c r="C28" s="4" t="n">
        <f aca="false">$B$1*EXP($B$3*((1/B28)-(1/$D$2)))</f>
        <v>6.33845063407118</v>
      </c>
      <c r="D28" s="0" t="n">
        <f aca="false">C28*$H$2/(C28+$H$1)</f>
        <v>2.87107803630836</v>
      </c>
      <c r="E28" s="0" t="n">
        <f aca="false">(D28/$H$2*$H$5)</f>
        <v>587.422566228691</v>
      </c>
      <c r="F28" s="3" t="n">
        <f aca="false">ROUND(E28*$H$3,0)</f>
        <v>9399</v>
      </c>
    </row>
    <row r="29" customFormat="false" ht="14.25" hidden="false" customHeight="false" outlineLevel="0" collapsed="false">
      <c r="A29" s="3" t="n">
        <v>105</v>
      </c>
      <c r="B29" s="0" t="n">
        <f aca="false">A29+273.15</f>
        <v>378.15</v>
      </c>
      <c r="C29" s="4" t="n">
        <f aca="false">$B$1*EXP($B$3*((1/B29)-(1/$D$2)))</f>
        <v>5.48291926814885</v>
      </c>
      <c r="D29" s="0" t="n">
        <f aca="false">C29*$H$2/(C29+$H$1)</f>
        <v>2.69221385526392</v>
      </c>
      <c r="E29" s="0" t="n">
        <f aca="false">(D29/$H$2*$H$5)</f>
        <v>550.826954786998</v>
      </c>
      <c r="F29" s="3" t="n">
        <f aca="false">ROUND(E29*$H$3,0)</f>
        <v>8813</v>
      </c>
    </row>
    <row r="30" customFormat="false" ht="14.25" hidden="false" customHeight="false" outlineLevel="0" collapsed="false">
      <c r="A30" s="3" t="n">
        <v>110</v>
      </c>
      <c r="B30" s="0" t="n">
        <f aca="false">A30+273.15</f>
        <v>383.15</v>
      </c>
      <c r="C30" s="4" t="n">
        <f aca="false">$B$1*EXP($B$3*((1/B30)-(1/$D$2)))</f>
        <v>4.76084568620634</v>
      </c>
      <c r="D30" s="0" t="n">
        <f aca="false">C30*$H$2/(C30+$H$1)</f>
        <v>2.51607828946387</v>
      </c>
      <c r="E30" s="0" t="n">
        <f aca="false">(D30/$H$2*$H$5)</f>
        <v>514.789618024308</v>
      </c>
      <c r="F30" s="3" t="n">
        <f aca="false">ROUND(E30*$H$3,0)</f>
        <v>8237</v>
      </c>
    </row>
    <row r="31" customFormat="false" ht="14.25" hidden="false" customHeight="false" outlineLevel="0" collapsed="false">
      <c r="A31" s="3" t="n">
        <v>115</v>
      </c>
      <c r="B31" s="0" t="n">
        <f aca="false">A31+273.15</f>
        <v>388.15</v>
      </c>
      <c r="C31" s="4" t="n">
        <f aca="false">$B$1*EXP($B$3*((1/B31)-(1/$D$2)))</f>
        <v>4.1489324084807</v>
      </c>
      <c r="D31" s="0" t="n">
        <f aca="false">C31*$H$2/(C31+$H$1)</f>
        <v>2.34431240796032</v>
      </c>
      <c r="E31" s="0" t="n">
        <f aca="false">(D31/$H$2*$H$5)</f>
        <v>479.646318668681</v>
      </c>
      <c r="F31" s="3" t="n">
        <f aca="false">ROUND(E31*$H$3,0)</f>
        <v>7674</v>
      </c>
    </row>
    <row r="32" customFormat="false" ht="14.25" hidden="false" customHeight="false" outlineLevel="0" collapsed="false">
      <c r="A32" s="3" t="n">
        <v>120</v>
      </c>
      <c r="B32" s="0" t="n">
        <f aca="false">A32+273.15</f>
        <v>393.15</v>
      </c>
      <c r="C32" s="4" t="n">
        <f aca="false">$B$1*EXP($B$3*((1/B32)-(1/$D$2)))</f>
        <v>3.62834297962193</v>
      </c>
      <c r="D32" s="0" t="n">
        <f aca="false">C32*$H$2/(C32+$H$1)</f>
        <v>2.17831025241148</v>
      </c>
      <c r="E32" s="0" t="n">
        <f aca="false">(D32/$H$2*$H$5)</f>
        <v>445.68227764339</v>
      </c>
      <c r="F32" s="3" t="n">
        <f aca="false">ROUND(E32*$H$3,0)</f>
        <v>7131</v>
      </c>
    </row>
    <row r="33" customFormat="false" ht="14.25" hidden="false" customHeight="false" outlineLevel="0" collapsed="false">
      <c r="A33" s="3" t="n">
        <v>125</v>
      </c>
      <c r="B33" s="0" t="n">
        <f aca="false">A33+273.15</f>
        <v>398.15</v>
      </c>
      <c r="C33" s="4" t="n">
        <f aca="false">$B$1*EXP($B$3*((1/B33)-(1/$D$2)))</f>
        <v>3.18377795609293</v>
      </c>
      <c r="D33" s="0" t="n">
        <f aca="false">C33*$H$2/(C33+$H$1)</f>
        <v>2.01919560255523</v>
      </c>
      <c r="E33" s="0" t="n">
        <f aca="false">(D33/$H$2*$H$5)</f>
        <v>413.127420282799</v>
      </c>
      <c r="F33" s="3" t="n">
        <f aca="false">ROUND(E33*$H$3,0)</f>
        <v>6610</v>
      </c>
    </row>
    <row r="34" customFormat="false" ht="14.25" hidden="false" customHeight="false" outlineLevel="0" collapsed="false">
      <c r="A34" s="3" t="n">
        <v>130</v>
      </c>
      <c r="B34" s="0" t="n">
        <f aca="false">A34+273.15</f>
        <v>403.15</v>
      </c>
      <c r="C34" s="4" t="n">
        <f aca="false">$B$1*EXP($B$3*((1/B34)-(1/$D$2)))</f>
        <v>2.8027558018325</v>
      </c>
      <c r="D34" s="0" t="n">
        <f aca="false">C34*$H$2/(C34+$H$1)</f>
        <v>1.86781755654898</v>
      </c>
      <c r="E34" s="0" t="n">
        <f aca="false">(D34/$H$2*$H$5)</f>
        <v>382.155472069922</v>
      </c>
      <c r="F34" s="3" t="n">
        <f aca="false">ROUND(E34*$H$3,0)</f>
        <v>6114</v>
      </c>
    </row>
    <row r="35" customFormat="false" ht="14.25" hidden="false" customHeight="false" outlineLevel="0" collapsed="false">
      <c r="A35" s="3" t="n">
        <v>135</v>
      </c>
      <c r="B35" s="0" t="n">
        <f aca="false">A35+273.15</f>
        <v>408.15</v>
      </c>
      <c r="C35" s="4" t="n">
        <f aca="false">$B$1*EXP($B$3*((1/B35)-(1/$D$2)))</f>
        <v>2.4750504294911</v>
      </c>
      <c r="D35" s="0" t="n">
        <f aca="false">C35*$H$2/(C35+$H$1)</f>
        <v>1.72476169597225</v>
      </c>
      <c r="E35" s="0" t="n">
        <f aca="false">(D35/$H$2*$H$5)</f>
        <v>352.886242995923</v>
      </c>
      <c r="F35" s="3" t="n">
        <f aca="false">ROUND(E35*$H$3,0)</f>
        <v>5646</v>
      </c>
    </row>
    <row r="36" customFormat="false" ht="14.25" hidden="false" customHeight="false" outlineLevel="0" collapsed="false">
      <c r="A36" s="3" t="n">
        <v>140</v>
      </c>
      <c r="B36" s="0" t="n">
        <f aca="false">A36+273.15</f>
        <v>413.15</v>
      </c>
      <c r="C36" s="4" t="n">
        <f aca="false">$B$1*EXP($B$3*((1/B36)-(1/$D$2)))</f>
        <v>2.19224912128667</v>
      </c>
      <c r="D36" s="0" t="n">
        <f aca="false">C36*$H$2/(C36+$H$1)</f>
        <v>1.59037281060831</v>
      </c>
      <c r="E36" s="0" t="n">
        <f aca="false">(D36/$H$2*$H$5)</f>
        <v>325.390277050461</v>
      </c>
      <c r="F36" s="3" t="n">
        <f aca="false">ROUND(E36*$H$3,0)</f>
        <v>5206</v>
      </c>
    </row>
    <row r="37" customFormat="false" ht="14.25" hidden="false" customHeight="false" outlineLevel="0" collapsed="false">
      <c r="A37" s="3" t="n">
        <v>145</v>
      </c>
      <c r="B37" s="0" t="n">
        <f aca="false">A37+273.15</f>
        <v>418.15</v>
      </c>
      <c r="C37" s="4" t="n">
        <f aca="false">$B$1*EXP($B$3*((1/B37)-(1/$D$2)))</f>
        <v>1.94740342953125</v>
      </c>
      <c r="D37" s="0" t="n">
        <f aca="false">C37*$H$2/(C37+$H$1)</f>
        <v>1.46478504740653</v>
      </c>
      <c r="E37" s="0" t="n">
        <f aca="false">(D37/$H$2*$H$5)</f>
        <v>299.695020699376</v>
      </c>
      <c r="F37" s="3" t="n">
        <f aca="false">ROUND(E37*$H$3,0)</f>
        <v>4795</v>
      </c>
    </row>
    <row r="38" customFormat="false" ht="14.25" hidden="false" customHeight="false" outlineLevel="0" collapsed="false">
      <c r="A38" s="3" t="n">
        <v>150</v>
      </c>
      <c r="B38" s="0" t="n">
        <f aca="false">A38+273.15</f>
        <v>423.15</v>
      </c>
      <c r="C38" s="4" t="n">
        <f aca="false">$B$1*EXP($B$3*((1/B38)-(1/$D$2)))</f>
        <v>1.73475224616878</v>
      </c>
      <c r="D38" s="0" t="n">
        <f aca="false">C38*$H$2/(C38+$H$1)</f>
        <v>1.34795574079922</v>
      </c>
      <c r="E38" s="0" t="n">
        <f aca="false">(D38/$H$2*$H$5)</f>
        <v>275.791744567521</v>
      </c>
      <c r="F38" s="3" t="n">
        <f aca="false">ROUND(E38*$H$3,0)</f>
        <v>4413</v>
      </c>
    </row>
    <row r="39" customFormat="false" ht="14.25" hidden="false" customHeight="false" outlineLevel="0" collapsed="false">
      <c r="A39" s="3" t="n">
        <v>155</v>
      </c>
      <c r="B39" s="0" t="n">
        <f aca="false">A39+273.15</f>
        <v>428.15</v>
      </c>
      <c r="C39" s="4" t="n">
        <f aca="false">$B$1*EXP($B$3*((1/B39)-(1/$D$2)))</f>
        <v>1.54950115464036</v>
      </c>
      <c r="D39" s="0" t="n">
        <f aca="false">C39*$H$2/(C39+$H$1)</f>
        <v>1.23969987067674</v>
      </c>
      <c r="E39" s="0" t="n">
        <f aca="false">(D39/$H$2*$H$5)</f>
        <v>253.642593540462</v>
      </c>
      <c r="F39" s="3" t="n">
        <f aca="false">ROUND(E39*$H$3,0)</f>
        <v>4058</v>
      </c>
    </row>
    <row r="40" customFormat="false" ht="14.25" hidden="false" customHeight="false" outlineLevel="0" collapsed="false">
      <c r="A40" s="3" t="n">
        <v>160</v>
      </c>
      <c r="B40" s="0" t="n">
        <f aca="false">A40+273.15</f>
        <v>433.15</v>
      </c>
      <c r="C40" s="4" t="n">
        <f aca="false">$B$1*EXP($B$3*((1/B40)-(1/$D$2)))</f>
        <v>1.38764587639362</v>
      </c>
      <c r="D40" s="0" t="n">
        <f aca="false">C40*$H$2/(C40+$H$1)</f>
        <v>1.13972289499835</v>
      </c>
      <c r="E40" s="0" t="n">
        <f aca="false">(D40/$H$2*$H$5)</f>
        <v>233.187304316662</v>
      </c>
      <c r="F40" s="3" t="n">
        <f aca="false">ROUND(E40*$H$3,0)</f>
        <v>3731</v>
      </c>
    </row>
    <row r="41" customFormat="false" ht="14.25" hidden="false" customHeight="false" outlineLevel="0" collapsed="false">
      <c r="A41" s="3" t="n">
        <v>165</v>
      </c>
      <c r="B41" s="0" t="n">
        <f aca="false">A41+273.15</f>
        <v>438.15</v>
      </c>
      <c r="C41" s="4" t="n">
        <f aca="false">$B$1*EXP($B$3*((1/B41)-(1/$D$2)))</f>
        <v>1.24583041735618</v>
      </c>
      <c r="D41" s="0" t="n">
        <f aca="false">C41*$H$2/(C41+$H$1)</f>
        <v>1.04765047933383</v>
      </c>
      <c r="E41" s="0" t="n">
        <f aca="false">(D41/$H$2*$H$5)</f>
        <v>214.349288071702</v>
      </c>
      <c r="F41" s="3" t="n">
        <f aca="false">ROUND(E41*$H$3,0)</f>
        <v>3430</v>
      </c>
    </row>
    <row r="42" customFormat="false" ht="14.25" hidden="false" customHeight="false" outlineLevel="0" collapsed="false">
      <c r="A42" s="3" t="n">
        <v>170</v>
      </c>
      <c r="B42" s="0" t="n">
        <f aca="false">A42+273.15</f>
        <v>443.15</v>
      </c>
      <c r="C42" s="4" t="n">
        <f aca="false">$B$1*EXP($B$3*((1/B42)-(1/$D$2)))</f>
        <v>1.12123263907024</v>
      </c>
      <c r="D42" s="0" t="n">
        <f aca="false">C42*$H$2/(C42+$H$1)</f>
        <v>0.963054312195741</v>
      </c>
      <c r="E42" s="0" t="n">
        <f aca="false">(D42/$H$2*$H$5)</f>
        <v>197.040912275249</v>
      </c>
      <c r="F42" s="3" t="n">
        <f aca="false">ROUND(E42*$H$3,0)</f>
        <v>3153</v>
      </c>
    </row>
    <row r="43" customFormat="false" ht="14.25" hidden="false" customHeight="false" outlineLevel="0" collapsed="false">
      <c r="A43" s="3" t="n">
        <v>175</v>
      </c>
      <c r="B43" s="0" t="n">
        <f aca="false">A43+273.15</f>
        <v>448.15</v>
      </c>
      <c r="C43" s="4" t="n">
        <f aca="false">$B$1*EXP($B$3*((1/B43)-(1/$D$2)))</f>
        <v>1.01147159513762</v>
      </c>
      <c r="D43" s="0" t="n">
        <f aca="false">C43*$H$2/(C43+$H$1)</f>
        <v>0.885473715739674</v>
      </c>
      <c r="E43" s="0" t="n">
        <f aca="false">(D43/$H$2*$H$5)</f>
        <v>181.167922240337</v>
      </c>
      <c r="F43" s="3" t="n">
        <f aca="false">ROUND(E43*$H$3,0)</f>
        <v>2899</v>
      </c>
    </row>
    <row r="44" customFormat="false" ht="14.25" hidden="false" customHeight="false" outlineLevel="0" collapsed="false">
      <c r="A44" s="3" t="n">
        <v>180</v>
      </c>
      <c r="B44" s="0" t="n">
        <f aca="false">A44+273.15</f>
        <v>453.15</v>
      </c>
      <c r="C44" s="4" t="n">
        <f aca="false">$B$1*EXP($B$3*((1/B44)-(1/$D$2)))</f>
        <v>0.914532211477597</v>
      </c>
      <c r="D44" s="0" t="n">
        <f aca="false">C44*$H$2/(C44+$H$1)</f>
        <v>0.814433132655335</v>
      </c>
      <c r="E44" s="0" t="n">
        <f aca="false">(D44/$H$2*$H$5)</f>
        <v>166.633018941282</v>
      </c>
      <c r="F44" s="3" t="n">
        <f aca="false">ROUND(E44*$H$3,0)</f>
        <v>2666</v>
      </c>
    </row>
    <row r="45" customFormat="false" ht="14.25" hidden="false" customHeight="false" outlineLevel="0" collapsed="false">
      <c r="A45" s="3" t="n">
        <v>185</v>
      </c>
      <c r="B45" s="0" t="n">
        <f aca="false">A45+273.15</f>
        <v>458.15</v>
      </c>
      <c r="C45" s="4" t="n">
        <f aca="false">$B$1*EXP($B$3*((1/B45)-(1/$D$2)))</f>
        <v>0.828703841409735</v>
      </c>
      <c r="D45" s="0" t="n">
        <f aca="false">C45*$H$2/(C45+$H$1)</f>
        <v>0.749455808432694</v>
      </c>
      <c r="E45" s="0" t="n">
        <f aca="false">(D45/$H$2*$H$5)</f>
        <v>153.338658405329</v>
      </c>
      <c r="F45" s="3" t="n">
        <f aca="false">ROUND(E45*$H$3,0)</f>
        <v>2453</v>
      </c>
    </row>
    <row r="46" customFormat="false" ht="14.25" hidden="false" customHeight="false" outlineLevel="0" collapsed="false">
      <c r="A46" s="3" t="n">
        <v>190</v>
      </c>
      <c r="B46" s="0" t="n">
        <f aca="false">A46+273.15</f>
        <v>463.15</v>
      </c>
      <c r="C46" s="4" t="n">
        <f aca="false">$B$1*EXP($B$3*((1/B46)-(1/$D$2)))</f>
        <v>0.752529962732793</v>
      </c>
      <c r="D46" s="0" t="n">
        <f aca="false">C46*$H$2/(C46+$H$1)</f>
        <v>0.690074119607063</v>
      </c>
      <c r="E46" s="0" t="n">
        <f aca="false">(D46/$H$2*$H$5)</f>
        <v>141.189164871605</v>
      </c>
      <c r="F46" s="3" t="n">
        <f aca="false">ROUND(E46*$H$3,0)</f>
        <v>2259</v>
      </c>
    </row>
    <row r="47" customFormat="false" ht="14.25" hidden="false" customHeight="false" outlineLevel="0" collapsed="false">
      <c r="A47" s="3" t="n">
        <v>195</v>
      </c>
      <c r="B47" s="0" t="n">
        <f aca="false">A47+273.15</f>
        <v>468.15</v>
      </c>
      <c r="C47" s="4" t="n">
        <f aca="false">$B$1*EXP($B$3*((1/B47)-(1/$D$2)))</f>
        <v>0.684766855343564</v>
      </c>
      <c r="D47" s="0" t="n">
        <f aca="false">C47*$H$2/(C47+$H$1)</f>
        <v>0.635837050831678</v>
      </c>
      <c r="E47" s="0" t="n">
        <f aca="false">(D47/$H$2*$H$5)</f>
        <v>130.092260600161</v>
      </c>
      <c r="F47" s="3" t="n">
        <f aca="false">ROUND(E47*$H$3,0)</f>
        <v>2081</v>
      </c>
    </row>
    <row r="48" customFormat="false" ht="14.25" hidden="false" customHeight="false" outlineLevel="0" collapsed="false">
      <c r="A48" s="3" t="n">
        <v>200</v>
      </c>
      <c r="B48" s="0" t="n">
        <f aca="false">A48+273.15</f>
        <v>473.15</v>
      </c>
      <c r="C48" s="4" t="n">
        <f aca="false">$B$1*EXP($B$3*((1/B48)-(1/$D$2)))</f>
        <v>0.62434954324783</v>
      </c>
      <c r="D48" s="0" t="n">
        <f aca="false">C48*$H$2/(C48+$H$1)</f>
        <v>0.586315321877777</v>
      </c>
      <c r="E48" s="0" t="n">
        <f aca="false">(D48/$H$2*$H$5)</f>
        <v>119.960114856193</v>
      </c>
      <c r="F48" s="3" t="n">
        <f aca="false">ROUND(E48*$H$3,0)</f>
        <v>1919</v>
      </c>
    </row>
    <row r="49" customFormat="false" ht="14.25" hidden="false" customHeight="false" outlineLevel="0" collapsed="false">
      <c r="A49" s="3" t="n">
        <v>205</v>
      </c>
      <c r="B49" s="0" t="n">
        <f aca="false">A49+273.15</f>
        <v>478.15</v>
      </c>
      <c r="C49" s="4" t="n">
        <f aca="false">$B$1*EXP($B$3*((1/B49)-(1/$D$2)))</f>
        <v>0.570363633267764</v>
      </c>
      <c r="D49" s="0" t="n">
        <f aca="false">C49*$H$2/(C49+$H$1)</f>
        <v>0.541104630492188</v>
      </c>
      <c r="E49" s="0" t="n">
        <f aca="false">(D49/$H$2*$H$5)</f>
        <v>110.710007398702</v>
      </c>
      <c r="F49" s="3" t="n">
        <f aca="false">ROUND(E49*$H$3,0)</f>
        <v>1771</v>
      </c>
    </row>
    <row r="50" customFormat="false" ht="14.25" hidden="false" customHeight="false" outlineLevel="0" collapsed="false">
      <c r="A50" s="3" t="n">
        <v>210</v>
      </c>
      <c r="B50" s="0" t="n">
        <f aca="false">A50+273.15</f>
        <v>483.15</v>
      </c>
      <c r="C50" s="4" t="n">
        <f aca="false">$B$1*EXP($B$3*((1/B50)-(1/$D$2)))</f>
        <v>0.522021956477555</v>
      </c>
      <c r="D50" s="0" t="n">
        <f aca="false">C50*$H$2/(C50+$H$1)</f>
        <v>0.499827423963646</v>
      </c>
      <c r="E50" s="0" t="n">
        <f aca="false">(D50/$H$2*$H$5)</f>
        <v>102.264690942962</v>
      </c>
      <c r="F50" s="3" t="n">
        <f aca="false">ROUND(E50*$H$3,0)</f>
        <v>1636</v>
      </c>
    </row>
    <row r="51" customFormat="false" ht="14.25" hidden="false" customHeight="false" outlineLevel="0" collapsed="false">
      <c r="A51" s="3" t="n">
        <v>215</v>
      </c>
      <c r="B51" s="0" t="n">
        <f aca="false">A51+273.15</f>
        <v>488.15</v>
      </c>
      <c r="C51" s="4" t="n">
        <f aca="false">$B$1*EXP($B$3*((1/B51)-(1/$D$2)))</f>
        <v>0.478645134242403</v>
      </c>
      <c r="D51" s="0" t="n">
        <f aca="false">C51*$H$2/(C51+$H$1)</f>
        <v>0.46213355215005</v>
      </c>
      <c r="E51" s="0" t="n">
        <f aca="false">(D51/$H$2*$H$5)</f>
        <v>94.5525247699003</v>
      </c>
      <c r="F51" s="3" t="n">
        <f aca="false">ROUND(E51*$H$3,0)</f>
        <v>1513</v>
      </c>
    </row>
    <row r="52" customFormat="false" ht="14.25" hidden="false" customHeight="false" outlineLevel="0" collapsed="false">
      <c r="A52" s="3" t="n">
        <v>220</v>
      </c>
      <c r="B52" s="0" t="n">
        <f aca="false">A52+273.15</f>
        <v>493.15</v>
      </c>
      <c r="C52" s="4" t="n">
        <f aca="false">$B$1*EXP($B$3*((1/B52)-(1/$D$2)))</f>
        <v>0.439645361564058</v>
      </c>
      <c r="D52" s="0" t="n">
        <f aca="false">C52*$H$2/(C52+$H$1)</f>
        <v>0.42770009469123</v>
      </c>
      <c r="E52" s="0" t="n">
        <f aca="false">(D52/$H$2*$H$5)</f>
        <v>87.5074393738256</v>
      </c>
      <c r="F52" s="3" t="n">
        <f aca="false">ROUND(E52*$H$3,0)</f>
        <v>1400</v>
      </c>
    </row>
    <row r="53" customFormat="false" ht="14.25" hidden="false" customHeight="false" outlineLevel="0" collapsed="false">
      <c r="A53" s="3" t="n">
        <v>225</v>
      </c>
      <c r="B53" s="0" t="n">
        <f aca="false">A53+273.15</f>
        <v>498.15</v>
      </c>
      <c r="C53" s="4" t="n">
        <f aca="false">$B$1*EXP($B$3*((1/B53)-(1/$D$2)))</f>
        <v>0.40451283612232</v>
      </c>
      <c r="D53" s="0" t="n">
        <f aca="false">C53*$H$2/(C53+$H$1)</f>
        <v>0.39623059938234</v>
      </c>
      <c r="E53" s="0" t="n">
        <f aca="false">(D53/$H$2*$H$5)</f>
        <v>81.0687806336269</v>
      </c>
      <c r="F53" s="3" t="n">
        <f aca="false">ROUND(E53*$H$3,0)</f>
        <v>1297</v>
      </c>
    </row>
    <row r="54" customFormat="false" ht="14.25" hidden="false" customHeight="false" outlineLevel="0" collapsed="false">
      <c r="A54" s="3" t="n">
        <v>230</v>
      </c>
      <c r="B54" s="0" t="n">
        <f aca="false">A54+273.15</f>
        <v>503.15</v>
      </c>
      <c r="C54" s="4" t="n">
        <f aca="false">$B$1*EXP($B$3*((1/B54)-(1/$D$2)))</f>
        <v>0.372804369552122</v>
      </c>
      <c r="D54" s="0" t="n">
        <f aca="false">C54*$H$2/(C54+$H$1)</f>
        <v>0.367453919364366</v>
      </c>
      <c r="E54" s="0" t="n">
        <f aca="false">(D54/$H$2*$H$5)</f>
        <v>75.1810719019494</v>
      </c>
      <c r="F54" s="3" t="n">
        <f aca="false">ROUND(E54*$H$3,0)</f>
        <v>1203</v>
      </c>
    </row>
    <row r="55" customFormat="false" ht="14.25" hidden="false" customHeight="false" outlineLevel="0" collapsed="false">
      <c r="A55" s="3" t="n">
        <v>235</v>
      </c>
      <c r="B55" s="0" t="n">
        <f aca="false">A55+273.15</f>
        <v>508.15</v>
      </c>
      <c r="C55" s="4" t="n">
        <f aca="false">$B$1*EXP($B$3*((1/B55)-(1/$D$2)))</f>
        <v>0.344133803991088</v>
      </c>
      <c r="D55" s="0" t="n">
        <f aca="false">C55*$H$2/(C55+$H$1)</f>
        <v>0.341122794679632</v>
      </c>
      <c r="E55" s="0" t="n">
        <f aca="false">(D55/$H$2*$H$5)</f>
        <v>69.7937237914527</v>
      </c>
      <c r="F55" s="3" t="n">
        <f aca="false">ROUND(E55*$H$3,0)</f>
        <v>1117</v>
      </c>
    </row>
    <row r="56" customFormat="false" ht="14.25" hidden="false" customHeight="false" outlineLevel="0" collapsed="false">
      <c r="A56" s="3" t="n">
        <v>240</v>
      </c>
      <c r="B56" s="0" t="n">
        <f aca="false">A56+273.15</f>
        <v>513.15</v>
      </c>
      <c r="C56" s="4" t="n">
        <f aca="false">$B$1*EXP($B$3*((1/B56)-(1/$D$2)))</f>
        <v>0.31816392633792</v>
      </c>
      <c r="D56" s="0" t="n">
        <f aca="false">C56*$H$2/(C56+$H$1)</f>
        <v>0.317012288765649</v>
      </c>
      <c r="E56" s="0" t="n">
        <f aca="false">(D56/$H$2*$H$5)</f>
        <v>64.8607142814517</v>
      </c>
      <c r="F56" s="3" t="n">
        <f aca="false">ROUND(E56*$H$3,0)</f>
        <v>1038</v>
      </c>
    </row>
    <row r="57" customFormat="false" ht="14.25" hidden="false" customHeight="false" outlineLevel="0" collapsed="false">
      <c r="A57" s="3" t="n">
        <v>245</v>
      </c>
      <c r="B57" s="0" t="n">
        <f aca="false">A57+273.15</f>
        <v>518.15</v>
      </c>
      <c r="C57" s="4" t="n">
        <f aca="false">$B$1*EXP($B$3*((1/B57)-(1/$D$2)))</f>
        <v>0.294599628533679</v>
      </c>
      <c r="D57" s="0" t="n">
        <f aca="false">C57*$H$2/(C57+$H$1)</f>
        <v>0.294918162059136</v>
      </c>
      <c r="E57" s="0" t="n">
        <f aca="false">(D57/$H$2*$H$5)</f>
        <v>60.3402559572992</v>
      </c>
      <c r="F57" s="3" t="n">
        <f aca="false">ROUND(E57*$H$3,0)</f>
        <v>965</v>
      </c>
    </row>
    <row r="58" customFormat="false" ht="14.25" hidden="false" customHeight="false" outlineLevel="0" collapsed="false">
      <c r="A58" s="3" t="n">
        <v>250</v>
      </c>
      <c r="B58" s="0" t="n">
        <f aca="false">A58+273.15</f>
        <v>523.15</v>
      </c>
      <c r="C58" s="4" t="n">
        <f aca="false">$B$1*EXP($B$3*((1/B58)-(1/$D$2)))</f>
        <v>0.273182107296367</v>
      </c>
      <c r="D58" s="0" t="n">
        <f aca="false">C58*$H$2/(C58+$H$1)</f>
        <v>0.27465524225985</v>
      </c>
      <c r="E58" s="0" t="n">
        <f aca="false">(D58/$H$2*$H$5)</f>
        <v>56.1944625663654</v>
      </c>
      <c r="F58" s="3" t="n">
        <f aca="false">ROUND(E58*$H$3,0)</f>
        <v>899</v>
      </c>
    </row>
    <row r="59" customFormat="false" ht="14.25" hidden="false" customHeight="false" outlineLevel="0" collapsed="false">
      <c r="A59" s="3" t="n">
        <v>255</v>
      </c>
      <c r="B59" s="0" t="n">
        <f aca="false">A59+273.15</f>
        <v>528.15</v>
      </c>
      <c r="C59" s="4" t="n">
        <f aca="false">$B$1*EXP($B$3*((1/B59)-(1/$D$2)))</f>
        <v>0.253683933285253</v>
      </c>
      <c r="D59" s="0" t="n">
        <f aca="false">C59*$H$2/(C59+$H$1)</f>
        <v>0.256055833094918</v>
      </c>
      <c r="E59" s="0" t="n">
        <f aca="false">(D59/$H$2*$H$5)</f>
        <v>52.3890234512202</v>
      </c>
      <c r="F59" s="3" t="n">
        <f aca="false">ROUND(E59*$H$3,0)</f>
        <v>838</v>
      </c>
    </row>
    <row r="60" customFormat="false" ht="14.25" hidden="false" customHeight="false" outlineLevel="0" collapsed="false">
      <c r="A60" s="3" t="n">
        <v>260</v>
      </c>
      <c r="B60" s="0" t="n">
        <f aca="false">A60+273.15</f>
        <v>533.15</v>
      </c>
      <c r="C60" s="4" t="n">
        <f aca="false">$B$1*EXP($B$3*((1/B60)-(1/$D$2)))</f>
        <v>0.235904849362256</v>
      </c>
      <c r="D60" s="0" t="n">
        <f aca="false">C60*$H$2/(C60+$H$1)</f>
        <v>0.238968189786657</v>
      </c>
      <c r="E60" s="0" t="n">
        <f aca="false">(D60/$H$2*$H$5)</f>
        <v>48.89289163035</v>
      </c>
      <c r="F60" s="3" t="n">
        <f aca="false">ROUND(E60*$H$3,0)</f>
        <v>782</v>
      </c>
    </row>
    <row r="61" customFormat="false" ht="14.25" hidden="false" customHeight="false" outlineLevel="0" collapsed="false">
      <c r="A61" s="3" t="n">
        <v>265</v>
      </c>
      <c r="B61" s="0" t="n">
        <f aca="false">A61+273.15</f>
        <v>538.15</v>
      </c>
      <c r="C61" s="4" t="n">
        <f aca="false">$B$1*EXP($B$3*((1/B61)-(1/$D$2)))</f>
        <v>0.219668181809364</v>
      </c>
      <c r="D61" s="0" t="n">
        <f aca="false">C61*$H$2/(C61+$H$1)</f>
        <v>0.223255079094149</v>
      </c>
      <c r="E61" s="0" t="n">
        <f aca="false">(D61/$H$2*$H$5)</f>
        <v>45.677989182663</v>
      </c>
      <c r="F61" s="3" t="n">
        <f aca="false">ROUND(E61*$H$3,0)</f>
        <v>731</v>
      </c>
    </row>
    <row r="62" customFormat="false" ht="14.25" hidden="false" customHeight="false" outlineLevel="0" collapsed="false">
      <c r="A62" s="3" t="n">
        <v>270</v>
      </c>
      <c r="B62" s="0" t="n">
        <f aca="false">A62+273.15</f>
        <v>543.15</v>
      </c>
      <c r="C62" s="4" t="n">
        <f aca="false">$B$1*EXP($B$3*((1/B62)-(1/$D$2)))</f>
        <v>0.204817768127964</v>
      </c>
      <c r="D62" s="0" t="n">
        <f aca="false">C62*$H$2/(C62+$H$1)</f>
        <v>0.208792434103151</v>
      </c>
      <c r="E62" s="0" t="n">
        <f aca="false">(D62/$H$2*$H$5)</f>
        <v>42.7189320175046</v>
      </c>
      <c r="F62" s="3" t="n">
        <f aca="false">ROUND(E62*$H$3,0)</f>
        <v>684</v>
      </c>
    </row>
    <row r="63" customFormat="false" ht="14.25" hidden="false" customHeight="false" outlineLevel="0" collapsed="false">
      <c r="A63" s="3" t="n">
        <v>275</v>
      </c>
      <c r="B63" s="0" t="n">
        <f aca="false">A63+273.15</f>
        <v>548.15</v>
      </c>
      <c r="C63" s="4" t="n">
        <f aca="false">$B$1*EXP($B$3*((1/B63)-(1/$D$2)))</f>
        <v>0.191215321242186</v>
      </c>
      <c r="D63" s="0" t="n">
        <f aca="false">C63*$H$2/(C63+$H$1)</f>
        <v>0.195468108316304</v>
      </c>
      <c r="E63" s="0" t="n">
        <f aca="false">(D63/$H$2*$H$5)</f>
        <v>39.9927749615157</v>
      </c>
      <c r="F63" s="3" t="n">
        <f aca="false">ROUND(E63*$H$3,0)</f>
        <v>640</v>
      </c>
    </row>
    <row r="64" customFormat="false" ht="14.25" hidden="false" customHeight="false" outlineLevel="0" collapsed="false">
      <c r="A64" s="3" t="n">
        <v>280</v>
      </c>
      <c r="B64" s="0" t="n">
        <f aca="false">A64+273.15</f>
        <v>553.15</v>
      </c>
      <c r="C64" s="4" t="n">
        <f aca="false">$B$1*EXP($B$3*((1/B64)-(1/$D$2)))</f>
        <v>0.178738163234673</v>
      </c>
      <c r="D64" s="0" t="n">
        <f aca="false">C64*$H$2/(C64+$H$1)</f>
        <v>0.183180729580461</v>
      </c>
      <c r="E64" s="0" t="n">
        <f aca="false">(D64/$H$2*$H$5)</f>
        <v>37.4787772721622</v>
      </c>
      <c r="F64" s="3" t="n">
        <f aca="false">ROUND(E64*$H$3,0)</f>
        <v>600</v>
      </c>
    </row>
    <row r="65" customFormat="false" ht="14.25" hidden="false" customHeight="false" outlineLevel="0" collapsed="false">
      <c r="A65" s="3" t="n">
        <v>285</v>
      </c>
      <c r="B65" s="0" t="n">
        <f aca="false">A65+273.15</f>
        <v>558.15</v>
      </c>
      <c r="C65" s="4" t="n">
        <f aca="false">$B$1*EXP($B$3*((1/B65)-(1/$D$2)))</f>
        <v>0.167277272704093</v>
      </c>
      <c r="D65" s="0" t="n">
        <f aca="false">C65*$H$2/(C65+$H$1)</f>
        <v>0.171838651603219</v>
      </c>
      <c r="E65" s="0" t="n">
        <f aca="false">(D65/$H$2*$H$5)</f>
        <v>35.1581881180187</v>
      </c>
      <c r="F65" s="3" t="n">
        <f aca="false">ROUND(E65*$H$3,0)</f>
        <v>563</v>
      </c>
    </row>
    <row r="66" customFormat="false" ht="14.25" hidden="false" customHeight="false" outlineLevel="0" collapsed="false">
      <c r="A66" s="3" t="n">
        <v>290</v>
      </c>
      <c r="B66" s="0" t="n">
        <f aca="false">A66+273.15</f>
        <v>563.15</v>
      </c>
      <c r="C66" s="4" t="n">
        <f aca="false">$B$1*EXP($B$3*((1/B66)-(1/$D$2)))</f>
        <v>0.156735598885852</v>
      </c>
      <c r="D66" s="0" t="n">
        <f aca="false">C66*$H$2/(C66+$H$1)</f>
        <v>0.161358998955809</v>
      </c>
      <c r="E66" s="0" t="n">
        <f aca="false">(D66/$H$2*$H$5)</f>
        <v>33.0140511863585</v>
      </c>
      <c r="F66" s="3" t="n">
        <f aca="false">ROUND(E66*$H$3,0)</f>
        <v>528</v>
      </c>
    </row>
    <row r="67" customFormat="false" ht="14.25" hidden="false" customHeight="false" outlineLevel="0" collapsed="false">
      <c r="A67" s="3" t="n">
        <v>295</v>
      </c>
      <c r="B67" s="0" t="n">
        <f aca="false">A67+273.15</f>
        <v>568.15</v>
      </c>
      <c r="C67" s="4" t="n">
        <f aca="false">$B$1*EXP($B$3*((1/B67)-(1/$D$2)))</f>
        <v>0.147026603171982</v>
      </c>
      <c r="D67" s="0" t="n">
        <f aca="false">C67*$H$2/(C67+$H$1)</f>
        <v>0.151666800297491</v>
      </c>
      <c r="E67" s="0" t="n">
        <f aca="false">(D67/$H$2*$H$5)</f>
        <v>31.0310273408666</v>
      </c>
      <c r="F67" s="3" t="n">
        <f aca="false">ROUND(E67*$H$3,0)</f>
        <v>496</v>
      </c>
    </row>
    <row r="68" customFormat="false" ht="14.25" hidden="false" customHeight="false" outlineLevel="0" collapsed="false">
      <c r="A68" s="3" t="n">
        <v>300</v>
      </c>
      <c r="B68" s="0" t="n">
        <f aca="false">A68+273.15</f>
        <v>573.15</v>
      </c>
      <c r="C68" s="4" t="n">
        <f aca="false">$B$1*EXP($B$3*((1/B68)-(1/$D$2)))</f>
        <v>0.138072994886403</v>
      </c>
      <c r="D68" s="0" t="n">
        <f aca="false">C68*$H$2/(C68+$H$1)</f>
        <v>0.142694203903434</v>
      </c>
      <c r="E68" s="0" t="n">
        <f aca="false">(D68/$H$2*$H$5)</f>
        <v>29.1952341186425</v>
      </c>
      <c r="F68" s="3" t="n">
        <f aca="false">ROUND(E68*$H$3,0)</f>
        <v>467</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1">
              <controlPr defaultSize="0" print="false" autoFill="0" autoPict="0" macro="Module1.export_marlin_table_BETA">
                <anchor moveWithCells="true" sizeWithCells="false">
                  <from>
                    <xdr:col>9</xdr:col>
                    <xdr:colOff>228600</xdr:colOff>
                    <xdr:row>7</xdr:row>
                    <xdr:rowOff>104760</xdr:rowOff>
                  </from>
                  <to>
                    <xdr:col>11</xdr:col>
                    <xdr:colOff>228600</xdr:colOff>
                    <xdr:row>9</xdr:row>
                    <xdr:rowOff>28440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5" activeCellId="0" sqref="A5"/>
    </sheetView>
  </sheetViews>
  <sheetFormatPr defaultColWidth="8.5390625" defaultRowHeight="14.25" zeroHeight="false" outlineLevelRow="0" outlineLevelCol="0"/>
  <sheetData>
    <row r="1" customFormat="false" ht="14.25" hidden="false" customHeight="false" outlineLevel="0" collapsed="false">
      <c r="A1" s="0" t="s">
        <v>40</v>
      </c>
    </row>
    <row r="2" customFormat="false" ht="14.25" hidden="false" customHeight="false" outlineLevel="0" collapsed="false">
      <c r="A2" s="0" t="s">
        <v>41</v>
      </c>
    </row>
    <row r="3" customFormat="false" ht="14.25" hidden="false" customHeight="false" outlineLevel="0" collapsed="false">
      <c r="A3" s="0" t="s">
        <v>42</v>
      </c>
    </row>
    <row r="4" customFormat="false" ht="14.25" hidden="false" customHeight="false" outlineLevel="0" collapsed="false">
      <c r="A4" s="0" t="s">
        <v>43</v>
      </c>
    </row>
    <row r="5" customFormat="false" ht="14.25" hidden="false" customHeight="false" outlineLevel="0" collapsed="false">
      <c r="A5" s="0" t="s">
        <v>44</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Q7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K28" activeCellId="0" sqref="K28"/>
    </sheetView>
  </sheetViews>
  <sheetFormatPr defaultColWidth="8.5390625" defaultRowHeight="14.25" zeroHeight="false" outlineLevelRow="0" outlineLevelCol="0"/>
  <cols>
    <col collapsed="false" customWidth="true" hidden="false" outlineLevel="0" max="1" min="1" style="0" width="13"/>
    <col collapsed="false" customWidth="true" hidden="false" outlineLevel="0" max="4" min="4" style="0" width="10"/>
    <col collapsed="false" customWidth="true" hidden="false" outlineLevel="0" max="15" min="15" style="0" width="12"/>
  </cols>
  <sheetData>
    <row r="1" customFormat="false" ht="14.25" hidden="false" customHeight="false" outlineLevel="0" collapsed="false">
      <c r="A1" s="0" t="s">
        <v>0</v>
      </c>
      <c r="B1" s="1" t="n">
        <v>4.7</v>
      </c>
      <c r="C1" s="0" t="s">
        <v>1</v>
      </c>
      <c r="G1" s="0" t="s">
        <v>45</v>
      </c>
      <c r="H1" s="0" t="s">
        <v>15</v>
      </c>
      <c r="I1" s="0" t="s">
        <v>46</v>
      </c>
      <c r="J1" s="0" t="s">
        <v>37</v>
      </c>
      <c r="K1" s="0" t="s">
        <v>47</v>
      </c>
      <c r="M1" s="0" t="s">
        <v>48</v>
      </c>
      <c r="P1" s="0" t="s">
        <v>49</v>
      </c>
    </row>
    <row r="2" customFormat="false" ht="14.25" hidden="false" customHeight="false" outlineLevel="0" collapsed="false">
      <c r="A2" s="0" t="s">
        <v>3</v>
      </c>
      <c r="B2" s="1" t="n">
        <v>5</v>
      </c>
      <c r="C2" s="0" t="s">
        <v>4</v>
      </c>
      <c r="G2" s="0" t="n">
        <v>1</v>
      </c>
      <c r="H2" s="1" t="n">
        <v>25</v>
      </c>
      <c r="I2" s="1" t="n">
        <v>100</v>
      </c>
      <c r="J2" s="0" t="n">
        <f aca="false">H2+273.15</f>
        <v>298.15</v>
      </c>
      <c r="K2" s="0" t="n">
        <f aca="false">LN(I2)</f>
        <v>4.60517018598809</v>
      </c>
      <c r="M2" s="0" t="s">
        <v>50</v>
      </c>
      <c r="N2" s="0" t="n">
        <f aca="false">K2-K3</f>
        <v>4.34534761041539</v>
      </c>
      <c r="P2" s="0" t="s">
        <v>51</v>
      </c>
      <c r="Q2" s="0" t="n">
        <f aca="false">(N4-N2*N5/N3)/(N6-N2*N7/N3)</f>
        <v>5.63428476745018E-007</v>
      </c>
    </row>
    <row r="3" customFormat="false" ht="14.25" hidden="false" customHeight="false" outlineLevel="0" collapsed="false">
      <c r="A3" s="0" t="s">
        <v>5</v>
      </c>
      <c r="B3" s="1" t="n">
        <v>16</v>
      </c>
      <c r="G3" s="0" t="n">
        <v>2</v>
      </c>
      <c r="H3" s="1" t="n">
        <v>160</v>
      </c>
      <c r="I3" s="1" t="n">
        <v>1.2967</v>
      </c>
      <c r="J3" s="0" t="n">
        <f aca="false">H3+273.15</f>
        <v>433.15</v>
      </c>
      <c r="K3" s="0" t="n">
        <f aca="false">LN(I3)</f>
        <v>0.259822575572702</v>
      </c>
      <c r="M3" s="0" t="s">
        <v>52</v>
      </c>
      <c r="N3" s="0" t="n">
        <f aca="false">K2-K4</f>
        <v>5.57552119471219</v>
      </c>
      <c r="P3" s="0" t="s">
        <v>53</v>
      </c>
      <c r="Q3" s="0" t="n">
        <f aca="false">(N4-Q2*N6)/N2</f>
        <v>0.000227905878300472</v>
      </c>
    </row>
    <row r="4" customFormat="false" ht="14.25" hidden="false" customHeight="false" outlineLevel="0" collapsed="false">
      <c r="A4" s="0" t="s">
        <v>6</v>
      </c>
      <c r="B4" s="1" t="n">
        <v>100</v>
      </c>
      <c r="C4" s="0" t="s">
        <v>7</v>
      </c>
      <c r="G4" s="0" t="n">
        <v>3</v>
      </c>
      <c r="H4" s="1" t="n">
        <v>220</v>
      </c>
      <c r="I4" s="1" t="n">
        <v>0.37895</v>
      </c>
      <c r="J4" s="0" t="n">
        <f aca="false">H4+273.15</f>
        <v>493.15</v>
      </c>
      <c r="K4" s="0" t="n">
        <f aca="false">LN(I4)</f>
        <v>-0.970351008724099</v>
      </c>
      <c r="M4" s="0" t="s">
        <v>54</v>
      </c>
      <c r="N4" s="0" t="n">
        <f aca="false">1/J2-1/J3</f>
        <v>0.00104534738238918</v>
      </c>
      <c r="P4" s="0" t="s">
        <v>55</v>
      </c>
      <c r="Q4" s="0" t="n">
        <f aca="false">1/J2-Q2*K2^3-Q3*K2</f>
        <v>0.00224944407744353</v>
      </c>
    </row>
    <row r="5" customFormat="false" ht="14.25" hidden="false" customHeight="false" outlineLevel="0" collapsed="false">
      <c r="A5" s="0" t="s">
        <v>8</v>
      </c>
      <c r="B5" s="1" t="n">
        <v>1023</v>
      </c>
      <c r="C5" s="0" t="s">
        <v>9</v>
      </c>
      <c r="M5" s="0" t="s">
        <v>56</v>
      </c>
      <c r="N5" s="0" t="n">
        <f aca="false">1/J2-1/J4</f>
        <v>0.00132623584054082</v>
      </c>
    </row>
    <row r="6" customFormat="false" ht="14.25" hidden="false" customHeight="false" outlineLevel="0" collapsed="false">
      <c r="M6" s="0" t="s">
        <v>4</v>
      </c>
      <c r="N6" s="0" t="n">
        <f aca="false">K2^3-K3^3</f>
        <v>97.6470323872124</v>
      </c>
    </row>
    <row r="7" customFormat="false" ht="14.25" hidden="false" customHeight="false" outlineLevel="0" collapsed="false">
      <c r="M7" s="0" t="s">
        <v>57</v>
      </c>
      <c r="N7" s="0" t="n">
        <f aca="false">K2^3-K4^3</f>
        <v>98.5782365809884</v>
      </c>
    </row>
    <row r="9" customFormat="false" ht="14.25" hidden="false" customHeight="false" outlineLevel="0" collapsed="false">
      <c r="A9" s="0" t="s">
        <v>58</v>
      </c>
      <c r="B9" s="0" t="s">
        <v>59</v>
      </c>
      <c r="C9" s="0" t="s">
        <v>60</v>
      </c>
      <c r="D9" s="0" t="s">
        <v>61</v>
      </c>
      <c r="E9" s="0" t="s">
        <v>62</v>
      </c>
      <c r="F9" s="0" t="s">
        <v>12</v>
      </c>
      <c r="G9" s="0" t="s">
        <v>13</v>
      </c>
      <c r="H9" s="0" t="s">
        <v>14</v>
      </c>
    </row>
    <row r="10" customFormat="false" ht="14.25" hidden="false" customHeight="false" outlineLevel="0" collapsed="false">
      <c r="A10" s="3" t="n">
        <v>0</v>
      </c>
      <c r="B10" s="0" t="n">
        <f aca="false">A10+273.15</f>
        <v>273.15</v>
      </c>
      <c r="C10" s="0" t="n">
        <f aca="false">($Q$4-(1/B10))/$Q$2</f>
        <v>-2505.28347373929</v>
      </c>
      <c r="D10" s="0" t="n">
        <f aca="false">SQRT(($Q$3/(3*$Q$2))^3+(C10^2)/4)</f>
        <v>2005.08222229028</v>
      </c>
      <c r="E10" s="4" t="n">
        <f aca="false">EXP((D10-(C10/2))^(1/3)-(D10+(C10/2))^(1/3))</f>
        <v>307.587141143163</v>
      </c>
      <c r="F10" s="0" t="n">
        <f aca="false">E10*$B$2/(E10+$B$1)</f>
        <v>4.92474874273089</v>
      </c>
      <c r="G10" s="0" t="n">
        <f aca="false">(F10/$B$2*$B$5)</f>
        <v>1007.60359276274</v>
      </c>
      <c r="H10" s="3" t="n">
        <f aca="false">ROUND(G10*$B$3,0)</f>
        <v>16122</v>
      </c>
    </row>
    <row r="11" customFormat="false" ht="14.25" hidden="false" customHeight="false" outlineLevel="0" collapsed="false">
      <c r="A11" s="3" t="n">
        <v>5</v>
      </c>
      <c r="B11" s="0" t="n">
        <f aca="false">A11+273.15</f>
        <v>278.15</v>
      </c>
      <c r="C11" s="0" t="n">
        <f aca="false">($Q$4-(1/B11))/$Q$2</f>
        <v>-2388.48129551519</v>
      </c>
      <c r="D11" s="0" t="n">
        <f aca="false">SQRT(($Q$3/(3*$Q$2))^3+(C11^2)/4)</f>
        <v>1969.12521743875</v>
      </c>
      <c r="E11" s="4" t="n">
        <f aca="false">EXP((D11-(C11/2))^(1/3)-(D11+(C11/2))^(1/3))</f>
        <v>243.393495517195</v>
      </c>
      <c r="F11" s="0" t="n">
        <f aca="false">E11*$B$2/(E11+$B$1)</f>
        <v>4.90527764562707</v>
      </c>
      <c r="G11" s="0" t="n">
        <f aca="false">(F11/$B$2*$B$5)</f>
        <v>1003.6198062953</v>
      </c>
      <c r="H11" s="3" t="n">
        <f aca="false">ROUND(G11*$B$3,0)</f>
        <v>16058</v>
      </c>
    </row>
    <row r="12" customFormat="false" ht="14.25" hidden="false" customHeight="false" outlineLevel="0" collapsed="false">
      <c r="A12" s="3" t="n">
        <v>10</v>
      </c>
      <c r="B12" s="0" t="n">
        <f aca="false">A12+273.15</f>
        <v>283.15</v>
      </c>
      <c r="C12" s="0" t="n">
        <f aca="false">($Q$4-(1/B12))/$Q$2</f>
        <v>-2275.80421629247</v>
      </c>
      <c r="D12" s="0" t="n">
        <f aca="false">SQRT(($Q$3/(3*$Q$2))^3+(C12^2)/4)</f>
        <v>1935.47529173595</v>
      </c>
      <c r="E12" s="4" t="n">
        <f aca="false">EXP((D12-(C12/2))^(1/3)-(D12+(C12/2))^(1/3))</f>
        <v>193.51515302672</v>
      </c>
      <c r="F12" s="0" t="n">
        <f aca="false">E12*$B$2/(E12+$B$1)</f>
        <v>4.88144196020759</v>
      </c>
      <c r="G12" s="0" t="n">
        <f aca="false">(F12/$B$2*$B$5)</f>
        <v>998.743025058474</v>
      </c>
      <c r="H12" s="3" t="n">
        <f aca="false">ROUND(G12*$B$3,0)</f>
        <v>15980</v>
      </c>
    </row>
    <row r="13" customFormat="false" ht="14.25" hidden="false" customHeight="false" outlineLevel="0" collapsed="false">
      <c r="A13" s="3" t="n">
        <v>15</v>
      </c>
      <c r="B13" s="0" t="n">
        <f aca="false">A13+273.15</f>
        <v>288.15</v>
      </c>
      <c r="C13" s="0" t="n">
        <f aca="false">($Q$4-(1/B13))/$Q$2</f>
        <v>-2167.03749900703</v>
      </c>
      <c r="D13" s="0" t="n">
        <f aca="false">SQRT(($Q$3/(3*$Q$2))^3+(C13^2)/4)</f>
        <v>1904.0105771036</v>
      </c>
      <c r="E13" s="4" t="n">
        <f aca="false">EXP((D13-(C13/2))^(1/3)-(D13+(C13/2))^(1/3))</f>
        <v>154.579901814924</v>
      </c>
      <c r="F13" s="0" t="n">
        <f aca="false">E13*$B$2/(E13+$B$1)</f>
        <v>4.85246098388919</v>
      </c>
      <c r="G13" s="0" t="n">
        <f aca="false">(F13/$B$2*$B$5)</f>
        <v>992.813517303729</v>
      </c>
      <c r="H13" s="3" t="n">
        <f aca="false">ROUND(G13*$B$3,0)</f>
        <v>15885</v>
      </c>
    </row>
    <row r="14" customFormat="false" ht="14.25" hidden="false" customHeight="false" outlineLevel="0" collapsed="false">
      <c r="A14" s="3" t="n">
        <v>20</v>
      </c>
      <c r="B14" s="0" t="n">
        <f aca="false">A14+273.15</f>
        <v>293.15</v>
      </c>
      <c r="C14" s="0" t="n">
        <f aca="false">($Q$4-(1/B14))/$Q$2</f>
        <v>-2061.98105691468</v>
      </c>
      <c r="D14" s="0" t="n">
        <f aca="false">SQRT(($Q$3/(3*$Q$2))^3+(C14^2)/4)</f>
        <v>1874.6159251872</v>
      </c>
      <c r="E14" s="4" t="n">
        <f aca="false">EXP((D14-(C14/2))^(1/3)-(D14+(C14/2))^(1/3))</f>
        <v>124.048493714195</v>
      </c>
      <c r="F14" s="0" t="n">
        <f aca="false">E14*$B$2/(E14+$B$1)</f>
        <v>4.81747359272283</v>
      </c>
      <c r="G14" s="0" t="n">
        <f aca="false">(F14/$B$2*$B$5)</f>
        <v>985.65509707109</v>
      </c>
      <c r="H14" s="3" t="n">
        <f aca="false">ROUND(G14*$B$3,0)</f>
        <v>15770</v>
      </c>
    </row>
    <row r="15" customFormat="false" ht="14.25" hidden="false" customHeight="false" outlineLevel="0" collapsed="false">
      <c r="A15" s="3" t="n">
        <v>25</v>
      </c>
      <c r="B15" s="0" t="n">
        <f aca="false">A15+273.15</f>
        <v>298.15</v>
      </c>
      <c r="C15" s="0" t="n">
        <f aca="false">($Q$4-(1/B15))/$Q$2</f>
        <v>-1960.44822515579</v>
      </c>
      <c r="D15" s="0" t="n">
        <f aca="false">SQRT(($Q$3/(3*$Q$2))^3+(C15^2)/4)</f>
        <v>1847.18237001002</v>
      </c>
      <c r="E15" s="4" t="n">
        <f aca="false">EXP((D15-(C15/2))^(1/3)-(D15+(C15/2))^(1/3))</f>
        <v>100</v>
      </c>
      <c r="F15" s="0" t="n">
        <f aca="false">E15*$B$2/(E15+$B$1)</f>
        <v>4.77554918815664</v>
      </c>
      <c r="G15" s="0" t="n">
        <f aca="false">(F15/$B$2*$B$5)</f>
        <v>977.077363896848</v>
      </c>
      <c r="H15" s="3" t="n">
        <f aca="false">ROUND(G15*$B$3,0)</f>
        <v>15633</v>
      </c>
    </row>
    <row r="16" customFormat="false" ht="14.25" hidden="false" customHeight="false" outlineLevel="0" collapsed="false">
      <c r="A16" s="3" t="n">
        <v>30</v>
      </c>
      <c r="B16" s="0" t="n">
        <f aca="false">A16+273.15</f>
        <v>303.15</v>
      </c>
      <c r="C16" s="0" t="n">
        <f aca="false">($Q$4-(1/B16))/$Q$2</f>
        <v>-1862.26465388706</v>
      </c>
      <c r="D16" s="0" t="n">
        <f aca="false">SQRT(($Q$3/(3*$Q$2))^3+(C16^2)/4)</f>
        <v>1821.60665553132</v>
      </c>
      <c r="E16" s="4" t="n">
        <f aca="false">EXP((D16-(C16/2))^(1/3)-(D16+(C16/2))^(1/3))</f>
        <v>80.9746567468956</v>
      </c>
      <c r="F16" s="0" t="n">
        <f aca="false">E16*$B$2/(E16+$B$1)</f>
        <v>4.72570651704594</v>
      </c>
      <c r="G16" s="0" t="n">
        <f aca="false">(F16/$B$2*$B$5)</f>
        <v>966.879553387598</v>
      </c>
      <c r="H16" s="3" t="n">
        <f aca="false">ROUND(G16*$B$3,0)</f>
        <v>15470</v>
      </c>
      <c r="L16" s="7" t="s">
        <v>38</v>
      </c>
    </row>
    <row r="17" customFormat="false" ht="14.25" hidden="false" customHeight="false" outlineLevel="0" collapsed="false">
      <c r="A17" s="3" t="n">
        <v>35</v>
      </c>
      <c r="B17" s="0" t="n">
        <f aca="false">A17+273.15</f>
        <v>308.15</v>
      </c>
      <c r="C17" s="0" t="n">
        <f aca="false">($Q$4-(1/B17))/$Q$2</f>
        <v>-1767.26730917256</v>
      </c>
      <c r="D17" s="0" t="n">
        <f aca="false">SQRT(($Q$3/(3*$Q$2))^3+(C17^2)/4)</f>
        <v>1797.79082006618</v>
      </c>
      <c r="E17" s="4" t="n">
        <f aca="false">EXP((D17-(C17/2))^(1/3)-(D17+(C17/2))^(1/3))</f>
        <v>65.8582401950389</v>
      </c>
      <c r="F17" s="0" t="n">
        <f aca="false">E17*$B$2/(E17+$B$1)</f>
        <v>4.66694180672533</v>
      </c>
      <c r="G17" s="0" t="n">
        <f aca="false">(F17/$B$2*$B$5)</f>
        <v>954.856293656002</v>
      </c>
      <c r="H17" s="3" t="n">
        <f aca="false">ROUND(G17*$B$3,0)</f>
        <v>15278</v>
      </c>
      <c r="L17" s="0" t="s">
        <v>39</v>
      </c>
    </row>
    <row r="18" customFormat="false" ht="14.25" hidden="false" customHeight="false" outlineLevel="0" collapsed="false">
      <c r="A18" s="3" t="n">
        <v>40</v>
      </c>
      <c r="B18" s="0" t="n">
        <f aca="false">A18+273.15</f>
        <v>313.15</v>
      </c>
      <c r="C18" s="0" t="n">
        <f aca="false">($Q$4-(1/B18))/$Q$2</f>
        <v>-1675.30356959025</v>
      </c>
      <c r="D18" s="0" t="n">
        <f aca="false">SQRT(($Q$3/(3*$Q$2))^3+(C18^2)/4)</f>
        <v>1775.6418303721</v>
      </c>
      <c r="E18" s="4" t="n">
        <f aca="false">EXP((D18-(C18/2))^(1/3)-(D18+(C18/2))^(1/3))</f>
        <v>53.7965945566479</v>
      </c>
      <c r="F18" s="0" t="n">
        <f aca="false">E18*$B$2/(E18+$B$1)</f>
        <v>4.59826721233759</v>
      </c>
      <c r="G18" s="0" t="n">
        <f aca="false">(F18/$B$2*$B$5)</f>
        <v>940.805471644271</v>
      </c>
      <c r="H18" s="3" t="n">
        <f aca="false">ROUND(G18*$B$3,0)</f>
        <v>15053</v>
      </c>
      <c r="L18" s="0" t="s">
        <v>63</v>
      </c>
    </row>
    <row r="19" customFormat="false" ht="14.25" hidden="false" customHeight="false" outlineLevel="0" collapsed="false">
      <c r="A19" s="3" t="n">
        <v>45</v>
      </c>
      <c r="B19" s="0" t="n">
        <f aca="false">A19+273.15</f>
        <v>318.15</v>
      </c>
      <c r="C19" s="0" t="n">
        <f aca="false">($Q$4-(1/B19))/$Q$2</f>
        <v>-1586.23040802405</v>
      </c>
      <c r="D19" s="0" t="n">
        <f aca="false">SQRT(($Q$3/(3*$Q$2))^3+(C19^2)/4)</f>
        <v>1755.07125896123</v>
      </c>
      <c r="E19" s="4" t="n">
        <f aca="false">EXP((D19-(C19/2))^(1/3)-(D19+(C19/2))^(1/3))</f>
        <v>44.1321587031521</v>
      </c>
      <c r="F19" s="0" t="n">
        <f aca="false">E19*$B$2/(E19+$B$1)</f>
        <v>4.51875975537237</v>
      </c>
      <c r="G19" s="0" t="n">
        <f aca="false">(F19/$B$2*$B$5)</f>
        <v>924.538245949188</v>
      </c>
      <c r="H19" s="3" t="n">
        <f aca="false">ROUND(G19*$B$3,0)</f>
        <v>14793</v>
      </c>
    </row>
    <row r="20" customFormat="false" ht="14.25" hidden="false" customHeight="false" outlineLevel="0" collapsed="false">
      <c r="A20" s="3" t="n">
        <v>50</v>
      </c>
      <c r="B20" s="0" t="n">
        <f aca="false">A20+273.15</f>
        <v>323.15</v>
      </c>
      <c r="C20" s="0" t="n">
        <f aca="false">($Q$4-(1/B20))/$Q$2</f>
        <v>-1499.91364941517</v>
      </c>
      <c r="D20" s="0" t="n">
        <f aca="false">SQRT(($Q$3/(3*$Q$2))^3+(C20^2)/4)</f>
        <v>1735.99499887592</v>
      </c>
      <c r="E20" s="4" t="n">
        <f aca="false">EXP((D20-(C20/2))^(1/3)-(D20+(C20/2))^(1/3))</f>
        <v>36.3566190119085</v>
      </c>
      <c r="F20" s="0" t="n">
        <f aca="false">E20*$B$2/(E20+$B$1)</f>
        <v>4.42761969773537</v>
      </c>
      <c r="G20" s="0" t="n">
        <f aca="false">(F20/$B$2*$B$5)</f>
        <v>905.890990156656</v>
      </c>
      <c r="H20" s="3" t="n">
        <f aca="false">ROUND(G20*$B$3,0)</f>
        <v>14494</v>
      </c>
    </row>
    <row r="21" customFormat="false" ht="14.25" hidden="false" customHeight="false" outlineLevel="0" collapsed="false">
      <c r="A21" s="3" t="n">
        <v>55</v>
      </c>
      <c r="B21" s="0" t="n">
        <f aca="false">A21+273.15</f>
        <v>328.15</v>
      </c>
      <c r="C21" s="0" t="n">
        <f aca="false">($Q$4-(1/B21))/$Q$2</f>
        <v>-1416.2272963711</v>
      </c>
      <c r="D21" s="0" t="n">
        <f aca="false">SQRT(($Q$3/(3*$Q$2))^3+(C21^2)/4)</f>
        <v>1718.33301078207</v>
      </c>
      <c r="E21" s="4" t="n">
        <f aca="false">EXP((D21-(C21/2))^(1/3)-(D21+(C21/2))^(1/3))</f>
        <v>30.0754377248782</v>
      </c>
      <c r="F21" s="0" t="n">
        <f aca="false">E21*$B$2/(E21+$B$1)</f>
        <v>4.32423568077223</v>
      </c>
      <c r="G21" s="0" t="n">
        <f aca="false">(F21/$B$2*$B$5)</f>
        <v>884.738620285999</v>
      </c>
      <c r="H21" s="3" t="n">
        <f aca="false">ROUND(G21*$B$3,0)</f>
        <v>14156</v>
      </c>
    </row>
    <row r="22" customFormat="false" ht="14.25" hidden="false" customHeight="false" outlineLevel="0" collapsed="false">
      <c r="A22" s="3" t="n">
        <v>60</v>
      </c>
      <c r="B22" s="0" t="n">
        <f aca="false">A22+273.15</f>
        <v>333.15</v>
      </c>
      <c r="C22" s="0" t="n">
        <f aca="false">($Q$4-(1/B22))/$Q$2</f>
        <v>-1335.05291550304</v>
      </c>
      <c r="D22" s="0" t="n">
        <f aca="false">SQRT(($Q$3/(3*$Q$2))^3+(C22^2)/4)</f>
        <v>1702.00909780031</v>
      </c>
      <c r="E22" s="4" t="n">
        <f aca="false">EXP((D22-(C22/2))^(1/3)-(D22+(C22/2))^(1/3))</f>
        <v>24.9811656138839</v>
      </c>
      <c r="F22" s="0" t="n">
        <f aca="false">E22*$B$2/(E22+$B$1)</f>
        <v>4.20825211833974</v>
      </c>
      <c r="G22" s="0" t="n">
        <f aca="false">(F22/$B$2*$B$5)</f>
        <v>861.00838341231</v>
      </c>
      <c r="H22" s="3" t="n">
        <f aca="false">ROUND(G22*$B$3,0)</f>
        <v>13776</v>
      </c>
    </row>
    <row r="23" customFormat="false" ht="14.25" hidden="false" customHeight="false" outlineLevel="0" collapsed="false">
      <c r="A23" s="3" t="n">
        <v>65</v>
      </c>
      <c r="B23" s="0" t="n">
        <f aca="false">A23+273.15</f>
        <v>338.15</v>
      </c>
      <c r="C23" s="0" t="n">
        <f aca="false">($Q$4-(1/B23))/$Q$2</f>
        <v>-1256.27907820642</v>
      </c>
      <c r="D23" s="0" t="n">
        <f aca="false">SQRT(($Q$3/(3*$Q$2))^3+(C23^2)/4)</f>
        <v>1686.95070401642</v>
      </c>
      <c r="E23" s="4" t="n">
        <f aca="false">EXP((D23-(C23/2))^(1/3)-(D23+(C23/2))^(1/3))</f>
        <v>20.8332805819796</v>
      </c>
      <c r="F23" s="0" t="n">
        <f aca="false">E23*$B$2/(E23+$B$1)</f>
        <v>4.07963256329132</v>
      </c>
      <c r="G23" s="0" t="n">
        <f aca="false">(F23/$B$2*$B$5)</f>
        <v>834.692822449404</v>
      </c>
      <c r="H23" s="3" t="n">
        <f aca="false">ROUND(G23*$B$3,0)</f>
        <v>13355</v>
      </c>
    </row>
    <row r="24" customFormat="false" ht="14.25" hidden="false" customHeight="false" outlineLevel="0" collapsed="false">
      <c r="A24" s="3" t="n">
        <v>70</v>
      </c>
      <c r="B24" s="0" t="n">
        <f aca="false">A24+273.15</f>
        <v>343.15</v>
      </c>
      <c r="C24" s="0" t="n">
        <f aca="false">($Q$4-(1/B24))/$Q$2</f>
        <v>-1179.80085033123</v>
      </c>
      <c r="D24" s="0" t="n">
        <f aca="false">SQRT(($Q$3/(3*$Q$2))^3+(C24^2)/4)</f>
        <v>1673.08873309436</v>
      </c>
      <c r="E24" s="4" t="n">
        <f aca="false">EXP((D24-(C24/2))^(1/3)-(D24+(C24/2))^(1/3))</f>
        <v>17.4428949112465</v>
      </c>
      <c r="F24" s="0" t="n">
        <f aca="false">E24*$B$2/(E24+$B$1)</f>
        <v>3.93871148762648</v>
      </c>
      <c r="G24" s="0" t="n">
        <f aca="false">(F24/$B$2*$B$5)</f>
        <v>805.860370368378</v>
      </c>
      <c r="H24" s="3" t="n">
        <f aca="false">ROUND(G24*$B$3,0)</f>
        <v>12894</v>
      </c>
    </row>
    <row r="25" customFormat="false" ht="14.25" hidden="false" customHeight="false" outlineLevel="0" collapsed="false">
      <c r="A25" s="3" t="n">
        <v>75</v>
      </c>
      <c r="B25" s="0" t="n">
        <f aca="false">A25+273.15</f>
        <v>348.15</v>
      </c>
      <c r="C25" s="0" t="n">
        <f aca="false">($Q$4-(1/B25))/$Q$2</f>
        <v>-1105.51932582745</v>
      </c>
      <c r="D25" s="0" t="n">
        <f aca="false">SQRT(($Q$3/(3*$Q$2))^3+(C25^2)/4)</f>
        <v>1660.35738386084</v>
      </c>
      <c r="E25" s="4" t="n">
        <f aca="false">EXP((D25-(C25/2))^(1/3)-(D25+(C25/2))^(1/3))</f>
        <v>14.6611096877632</v>
      </c>
      <c r="F25" s="0" t="n">
        <f aca="false">E25*$B$2/(E25+$B$1)</f>
        <v>3.78622659656473</v>
      </c>
      <c r="G25" s="0" t="n">
        <f aca="false">(F25/$B$2*$B$5)</f>
        <v>774.661961657143</v>
      </c>
      <c r="H25" s="3" t="n">
        <f aca="false">ROUND(G25*$B$3,0)</f>
        <v>12395</v>
      </c>
    </row>
    <row r="26" customFormat="false" ht="14.25" hidden="false" customHeight="false" outlineLevel="0" collapsed="false">
      <c r="A26" s="3" t="n">
        <v>80</v>
      </c>
      <c r="B26" s="0" t="n">
        <f aca="false">A26+273.15</f>
        <v>353.15</v>
      </c>
      <c r="C26" s="0" t="n">
        <f aca="false">($Q$4-(1/B26))/$Q$2</f>
        <v>-1033.34120000704</v>
      </c>
      <c r="D26" s="0" t="n">
        <f aca="false">SQRT(($Q$3/(3*$Q$2))^3+(C26^2)/4)</f>
        <v>1648.69400014215</v>
      </c>
      <c r="E26" s="4" t="n">
        <f aca="false">EXP((D26-(C26/2))^(1/3)-(D26+(C26/2))^(1/3))</f>
        <v>12.370112346678</v>
      </c>
      <c r="F26" s="0" t="n">
        <f aca="false">E26*$B$2/(E26+$B$1)</f>
        <v>3.62332481926674</v>
      </c>
      <c r="G26" s="0" t="n">
        <f aca="false">(F26/$B$2*$B$5)</f>
        <v>741.332258021975</v>
      </c>
      <c r="H26" s="3" t="n">
        <f aca="false">ROUND(G26*$B$3,0)</f>
        <v>11861</v>
      </c>
    </row>
    <row r="27" customFormat="false" ht="14.25" hidden="false" customHeight="false" outlineLevel="0" collapsed="false">
      <c r="A27" s="3" t="n">
        <v>85</v>
      </c>
      <c r="B27" s="0" t="n">
        <f aca="false">A27+273.15</f>
        <v>358.15</v>
      </c>
      <c r="C27" s="0" t="n">
        <f aca="false">($Q$4-(1/B27))/$Q$2</f>
        <v>-963.178378551306</v>
      </c>
      <c r="D27" s="0" t="n">
        <f aca="false">SQRT(($Q$3/(3*$Q$2))^3+(C27^2)/4)</f>
        <v>1638.03893251165</v>
      </c>
      <c r="E27" s="4" t="n">
        <f aca="false">EXP((D27-(C27/2))^(1/3)-(D27+(C27/2))^(1/3))</f>
        <v>10.4763454602529</v>
      </c>
      <c r="F27" s="0" t="n">
        <f aca="false">E27*$B$2/(E27+$B$1)</f>
        <v>3.45153762073044</v>
      </c>
      <c r="G27" s="0" t="n">
        <f aca="false">(F27/$B$2*$B$5)</f>
        <v>706.184597201449</v>
      </c>
      <c r="H27" s="3" t="n">
        <f aca="false">ROUND(G27*$B$3,0)</f>
        <v>11299</v>
      </c>
    </row>
    <row r="28" customFormat="false" ht="14.25" hidden="false" customHeight="false" outlineLevel="0" collapsed="false">
      <c r="A28" s="3" t="n">
        <v>90</v>
      </c>
      <c r="B28" s="0" t="n">
        <f aca="false">A28+273.15</f>
        <v>363.15</v>
      </c>
      <c r="C28" s="0" t="n">
        <f aca="false">($Q$4-(1/B28))/$Q$2</f>
        <v>-894.947618818154</v>
      </c>
      <c r="D28" s="0" t="n">
        <f aca="false">SQRT(($Q$3/(3*$Q$2))^3+(C28^2)/4)</f>
        <v>1628.33540995207</v>
      </c>
      <c r="E28" s="4" t="n">
        <f aca="false">EXP((D28-(C28/2))^(1/3)-(D28+(C28/2))^(1/3))</f>
        <v>8.90524544422025</v>
      </c>
      <c r="F28" s="0" t="n">
        <f aca="false">E28*$B$2/(E28+$B$1)</f>
        <v>3.27272502386326</v>
      </c>
      <c r="G28" s="0" t="n">
        <f aca="false">(F28/$B$2*$B$5)</f>
        <v>669.599539882423</v>
      </c>
      <c r="H28" s="3" t="n">
        <f aca="false">ROUND(G28*$B$3,0)</f>
        <v>10714</v>
      </c>
    </row>
    <row r="29" customFormat="false" ht="14.25" hidden="false" customHeight="false" outlineLevel="0" collapsed="false">
      <c r="A29" s="3" t="n">
        <v>95</v>
      </c>
      <c r="B29" s="0" t="n">
        <f aca="false">A29+273.15</f>
        <v>368.15</v>
      </c>
      <c r="C29" s="0" t="n">
        <f aca="false">($Q$4-(1/B29))/$Q$2</f>
        <v>-828.570200378854</v>
      </c>
      <c r="D29" s="0" t="n">
        <f aca="false">SQRT(($Q$3/(3*$Q$2))^3+(C29^2)/4)</f>
        <v>1619.52941974997</v>
      </c>
      <c r="E29" s="4" t="n">
        <f aca="false">EXP((D29-(C29/2))^(1/3)-(D29+(C29/2))^(1/3))</f>
        <v>7.59717565581716</v>
      </c>
      <c r="F29" s="0" t="n">
        <f aca="false">E29*$B$2/(E29+$B$1)</f>
        <v>3.08899208584669</v>
      </c>
      <c r="G29" s="0" t="n">
        <f aca="false">(F29/$B$2*$B$5)</f>
        <v>632.007780764233</v>
      </c>
      <c r="H29" s="3" t="n">
        <f aca="false">ROUND(G29*$B$3,0)</f>
        <v>10112</v>
      </c>
    </row>
    <row r="30" customFormat="false" ht="14.25" hidden="false" customHeight="false" outlineLevel="0" collapsed="false">
      <c r="A30" s="3" t="n">
        <v>100</v>
      </c>
      <c r="B30" s="0" t="n">
        <f aca="false">A30+273.15</f>
        <v>373.15</v>
      </c>
      <c r="C30" s="0" t="n">
        <f aca="false">($Q$4-(1/B30))/$Q$2</f>
        <v>-763.971622042443</v>
      </c>
      <c r="D30" s="0" t="n">
        <f aca="false">SQRT(($Q$3/(3*$Q$2))^3+(C30^2)/4)</f>
        <v>1611.56959422119</v>
      </c>
      <c r="E30" s="4" t="n">
        <f aca="false">EXP((D30-(C30/2))^(1/3)-(D30+(C30/2))^(1/3))</f>
        <v>6.50427151593627</v>
      </c>
      <c r="F30" s="0" t="n">
        <f aca="false">E30*$B$2/(E30+$B$1)</f>
        <v>2.90258563739954</v>
      </c>
      <c r="G30" s="0" t="n">
        <f aca="false">(F30/$B$2*$B$5)</f>
        <v>593.869021411945</v>
      </c>
      <c r="H30" s="3" t="n">
        <f aca="false">ROUND(G30*$B$3,0)</f>
        <v>9502</v>
      </c>
    </row>
    <row r="31" customFormat="false" ht="14.25" hidden="false" customHeight="false" outlineLevel="0" collapsed="false">
      <c r="A31" s="3" t="n">
        <v>105</v>
      </c>
      <c r="B31" s="0" t="n">
        <f aca="false">A31+273.15</f>
        <v>378.15</v>
      </c>
      <c r="C31" s="0" t="n">
        <f aca="false">($Q$4-(1/B31))/$Q$2</f>
        <v>-701.081322916303</v>
      </c>
      <c r="D31" s="0" t="n">
        <f aca="false">SQRT(($Q$3/(3*$Q$2))^3+(C31^2)/4)</f>
        <v>1604.40710311699</v>
      </c>
      <c r="E31" s="4" t="n">
        <f aca="false">EXP((D31-(C31/2))^(1/3)-(D31+(C31/2))^(1/3))</f>
        <v>5.58798454551374</v>
      </c>
      <c r="F31" s="0" t="n">
        <f aca="false">E31*$B$2/(E31+$B$1)</f>
        <v>2.7157819497068</v>
      </c>
      <c r="G31" s="0" t="n">
        <f aca="false">(F31/$B$2*$B$5)</f>
        <v>555.648986910011</v>
      </c>
      <c r="H31" s="3" t="n">
        <f aca="false">ROUND(G31*$B$3,0)</f>
        <v>8890</v>
      </c>
    </row>
    <row r="32" customFormat="false" ht="14.25" hidden="false" customHeight="false" outlineLevel="0" collapsed="false">
      <c r="A32" s="3" t="n">
        <v>110</v>
      </c>
      <c r="B32" s="0" t="n">
        <f aca="false">A32+273.15</f>
        <v>383.15</v>
      </c>
      <c r="C32" s="0" t="n">
        <f aca="false">($Q$4-(1/B32))/$Q$2</f>
        <v>-639.832425307223</v>
      </c>
      <c r="D32" s="0" t="n">
        <f aca="false">SQRT(($Q$3/(3*$Q$2))^3+(C32^2)/4)</f>
        <v>1597.99555078084</v>
      </c>
      <c r="E32" s="4" t="n">
        <f aca="false">EXP((D32-(C32/2))^(1/3)-(D32+(C32/2))^(1/3))</f>
        <v>4.8171638908203</v>
      </c>
      <c r="F32" s="0" t="n">
        <f aca="false">E32*$B$2/(E32+$B$1)</f>
        <v>2.5307769972663</v>
      </c>
      <c r="G32" s="0" t="n">
        <f aca="false">(F32/$B$2*$B$5)</f>
        <v>517.796973640686</v>
      </c>
      <c r="H32" s="3" t="n">
        <f aca="false">ROUND(G32*$B$3,0)</f>
        <v>8285</v>
      </c>
    </row>
    <row r="33" customFormat="false" ht="14.25" hidden="false" customHeight="false" outlineLevel="0" collapsed="false">
      <c r="A33" s="3" t="n">
        <v>115</v>
      </c>
      <c r="B33" s="0" t="n">
        <f aca="false">A33+273.15</f>
        <v>388.15</v>
      </c>
      <c r="C33" s="0" t="n">
        <f aca="false">($Q$4-(1/B33))/$Q$2</f>
        <v>-580.161497493559</v>
      </c>
      <c r="D33" s="0" t="n">
        <f aca="false">SQRT(($Q$3/(3*$Q$2))^3+(C33^2)/4)</f>
        <v>1592.29087731803</v>
      </c>
      <c r="E33" s="4" t="n">
        <f aca="false">EXP((D33-(C33/2))^(1/3)-(D33+(C33/2))^(1/3))</f>
        <v>4.16655262597676</v>
      </c>
      <c r="F33" s="0" t="n">
        <f aca="false">E33*$B$2/(E33+$B$1)</f>
        <v>2.34958997128705</v>
      </c>
      <c r="G33" s="0" t="n">
        <f aca="false">(F33/$B$2*$B$5)</f>
        <v>480.726108125329</v>
      </c>
      <c r="H33" s="3" t="n">
        <f aca="false">ROUND(G33*$B$3,0)</f>
        <v>7692</v>
      </c>
    </row>
    <row r="34" customFormat="false" ht="14.25" hidden="false" customHeight="false" outlineLevel="0" collapsed="false">
      <c r="A34" s="3" t="n">
        <v>120</v>
      </c>
      <c r="B34" s="0" t="n">
        <f aca="false">A34+273.15</f>
        <v>393.15</v>
      </c>
      <c r="C34" s="0" t="n">
        <f aca="false">($Q$4-(1/B34))/$Q$2</f>
        <v>-522.008334599484</v>
      </c>
      <c r="D34" s="0" t="n">
        <f aca="false">SQRT(($Q$3/(3*$Q$2))^3+(C34^2)/4)</f>
        <v>1587.25126320459</v>
      </c>
      <c r="E34" s="4" t="n">
        <f aca="false">EXP((D34-(C34/2))^(1/3)-(D34+(C34/2))^(1/3))</f>
        <v>3.61560522428444</v>
      </c>
      <c r="F34" s="0" t="n">
        <f aca="false">E34*$B$2/(E34+$B$1)</f>
        <v>2.17398801816951</v>
      </c>
      <c r="G34" s="0" t="n">
        <f aca="false">(F34/$B$2*$B$5)</f>
        <v>444.797948517483</v>
      </c>
      <c r="H34" s="3" t="n">
        <f aca="false">ROUND(G34*$B$3,0)</f>
        <v>7117</v>
      </c>
    </row>
    <row r="35" customFormat="false" ht="14.25" hidden="false" customHeight="false" outlineLevel="0" collapsed="false">
      <c r="A35" s="3" t="n">
        <v>125</v>
      </c>
      <c r="B35" s="0" t="n">
        <f aca="false">A35+273.15</f>
        <v>398.15</v>
      </c>
      <c r="C35" s="0" t="n">
        <f aca="false">($Q$4-(1/B35))/$Q$2</f>
        <v>-465.315755980033</v>
      </c>
      <c r="D35" s="0" t="n">
        <f aca="false">SQRT(($Q$3/(3*$Q$2))^3+(C35^2)/4)</f>
        <v>1582.83703690163</v>
      </c>
      <c r="E35" s="4" t="n">
        <f aca="false">EXP((D35-(C35/2))^(1/3)-(D35+(C35/2))^(1/3))</f>
        <v>3.14755454623698</v>
      </c>
      <c r="F35" s="0" t="n">
        <f aca="false">E35*$B$2/(E35+$B$1)</f>
        <v>2.00543655204428</v>
      </c>
      <c r="G35" s="0" t="n">
        <f aca="false">(F35/$B$2*$B$5)</f>
        <v>410.312318548259</v>
      </c>
      <c r="H35" s="3" t="n">
        <f aca="false">ROUND(G35*$B$3,0)</f>
        <v>6565</v>
      </c>
    </row>
    <row r="36" customFormat="false" ht="14.25" hidden="false" customHeight="false" outlineLevel="0" collapsed="false">
      <c r="A36" s="3" t="n">
        <v>130</v>
      </c>
      <c r="B36" s="0" t="n">
        <f aca="false">A36+273.15</f>
        <v>403.15</v>
      </c>
      <c r="C36" s="0" t="n">
        <f aca="false">($Q$4-(1/B36))/$Q$2</f>
        <v>-410.029417683524</v>
      </c>
      <c r="D36" s="0" t="n">
        <f aca="false">SQRT(($Q$3/(3*$Q$2))^3+(C36^2)/4)</f>
        <v>1579.01058515711</v>
      </c>
      <c r="E36" s="4" t="n">
        <f aca="false">EXP((D36-(C36/2))^(1/3)-(D36+(C36/2))^(1/3))</f>
        <v>2.74867331404486</v>
      </c>
      <c r="F36" s="0" t="n">
        <f aca="false">E36*$B$2/(E36+$B$1)</f>
        <v>1.84507575923762</v>
      </c>
      <c r="G36" s="0" t="n">
        <f aca="false">(F36/$B$2*$B$5)</f>
        <v>377.502500340016</v>
      </c>
      <c r="H36" s="3" t="n">
        <f aca="false">ROUND(G36*$B$3,0)</f>
        <v>6040</v>
      </c>
    </row>
    <row r="37" customFormat="false" ht="14.25" hidden="false" customHeight="false" outlineLevel="0" collapsed="false">
      <c r="A37" s="3" t="n">
        <v>135</v>
      </c>
      <c r="B37" s="0" t="n">
        <f aca="false">A37+273.15</f>
        <v>408.15</v>
      </c>
      <c r="C37" s="0" t="n">
        <f aca="false">($Q$4-(1/B37))/$Q$2</f>
        <v>-356.097638698456</v>
      </c>
      <c r="D37" s="0" t="n">
        <f aca="false">SQRT(($Q$3/(3*$Q$2))^3+(C37^2)/4)</f>
        <v>1575.73626577177</v>
      </c>
      <c r="E37" s="4" t="n">
        <f aca="false">EXP((D37-(C37/2))^(1/3)-(D37+(C37/2))^(1/3))</f>
        <v>2.40768766897603</v>
      </c>
      <c r="F37" s="0" t="n">
        <f aca="false">E37*$B$2/(E37+$B$1)</f>
        <v>1.69372078593522</v>
      </c>
      <c r="G37" s="0" t="n">
        <f aca="false">(F37/$B$2*$B$5)</f>
        <v>346.535272802346</v>
      </c>
      <c r="H37" s="3" t="n">
        <f aca="false">ROUND(G37*$B$3,0)</f>
        <v>5545</v>
      </c>
    </row>
    <row r="38" customFormat="false" ht="14.25" hidden="false" customHeight="false" outlineLevel="0" collapsed="false">
      <c r="A38" s="3" t="n">
        <v>140</v>
      </c>
      <c r="B38" s="0" t="n">
        <f aca="false">A38+273.15</f>
        <v>413.15</v>
      </c>
      <c r="C38" s="0" t="n">
        <f aca="false">($Q$4-(1/B38))/$Q$2</f>
        <v>-303.471239817107</v>
      </c>
      <c r="D38" s="0" t="n">
        <f aca="false">SQRT(($Q$3/(3*$Q$2))^3+(C38^2)/4)</f>
        <v>1572.98032268231</v>
      </c>
      <c r="E38" s="4" t="n">
        <f aca="false">EXP((D38-(C38/2))^(1/3)-(D38+(C38/2))^(1/3))</f>
        <v>2.11531003121856</v>
      </c>
      <c r="F38" s="0" t="n">
        <f aca="false">E38*$B$2/(E38+$B$1)</f>
        <v>1.5518810013991</v>
      </c>
      <c r="G38" s="0" t="n">
        <f aca="false">(F38/$B$2*$B$5)</f>
        <v>317.514852886256</v>
      </c>
      <c r="H38" s="3" t="n">
        <f aca="false">ROUND(G38*$B$3,0)</f>
        <v>5080</v>
      </c>
    </row>
    <row r="39" customFormat="false" ht="14.25" hidden="false" customHeight="false" outlineLevel="0" collapsed="false">
      <c r="A39" s="3" t="n">
        <v>145</v>
      </c>
      <c r="B39" s="0" t="n">
        <f aca="false">A39+273.15</f>
        <v>418.15</v>
      </c>
      <c r="C39" s="0" t="n">
        <f aca="false">($Q$4-(1/B39))/$Q$2</f>
        <v>-252.103394059787</v>
      </c>
      <c r="D39" s="0" t="n">
        <f aca="false">SQRT(($Q$3/(3*$Q$2))^3+(C39^2)/4)</f>
        <v>1570.71080327374</v>
      </c>
      <c r="E39" s="4" t="n">
        <f aca="false">EXP((D39-(C39/2))^(1/3)-(D39+(C39/2))^(1/3))</f>
        <v>1.86386584056624</v>
      </c>
      <c r="F39" s="0" t="n">
        <f aca="false">E39*$B$2/(E39+$B$1)</f>
        <v>1.41979276072883</v>
      </c>
      <c r="G39" s="0" t="n">
        <f aca="false">(F39/$B$2*$B$5)</f>
        <v>290.489598845118</v>
      </c>
      <c r="H39" s="3" t="n">
        <f aca="false">ROUND(G39*$B$3,0)</f>
        <v>4648</v>
      </c>
    </row>
    <row r="40" customFormat="false" ht="14.25" hidden="false" customHeight="false" outlineLevel="0" collapsed="false">
      <c r="A40" s="3" t="n">
        <v>150</v>
      </c>
      <c r="B40" s="0" t="n">
        <f aca="false">A40+273.15</f>
        <v>423.15</v>
      </c>
      <c r="C40" s="0" t="n">
        <f aca="false">($Q$4-(1/B40))/$Q$2</f>
        <v>-201.949487703562</v>
      </c>
      <c r="D40" s="0" t="n">
        <f aca="false">SQRT(($Q$3/(3*$Q$2))^3+(C40^2)/4)</f>
        <v>1568.89747787822</v>
      </c>
      <c r="E40" s="4" t="n">
        <f aca="false">EXP((D40-(C40/2))^(1/3)-(D40+(C40/2))^(1/3))</f>
        <v>1.64699440110969</v>
      </c>
      <c r="F40" s="0" t="n">
        <f aca="false">E40*$B$2/(E40+$B$1)</f>
        <v>1.29746010239251</v>
      </c>
      <c r="G40" s="0" t="n">
        <f aca="false">(F40/$B$2*$B$5)</f>
        <v>265.460336949507</v>
      </c>
      <c r="H40" s="3" t="n">
        <f aca="false">ROUND(G40*$B$3,0)</f>
        <v>4247</v>
      </c>
    </row>
    <row r="41" customFormat="false" ht="14.25" hidden="false" customHeight="false" outlineLevel="0" collapsed="false">
      <c r="A41" s="3" t="n">
        <v>155</v>
      </c>
      <c r="B41" s="0" t="n">
        <f aca="false">A41+273.15</f>
        <v>428.15</v>
      </c>
      <c r="C41" s="0" t="n">
        <f aca="false">($Q$4-(1/B41))/$Q$2</f>
        <v>-152.966991048522</v>
      </c>
      <c r="D41" s="0" t="n">
        <f aca="false">SQRT(($Q$3/(3*$Q$2))^3+(C41^2)/4)</f>
        <v>1567.51176145008</v>
      </c>
      <c r="E41" s="4" t="n">
        <f aca="false">EXP((D41-(C41/2))^(1/3)-(D41+(C41/2))^(1/3))</f>
        <v>1.45940839705645</v>
      </c>
      <c r="F41" s="0" t="n">
        <f aca="false">E41*$B$2/(E41+$B$1)</f>
        <v>1.18469851565119</v>
      </c>
      <c r="G41" s="0" t="n">
        <f aca="false">(F41/$B$2*$B$5)</f>
        <v>242.389316302233</v>
      </c>
      <c r="H41" s="3" t="n">
        <f aca="false">ROUND(G41*$B$3,0)</f>
        <v>3878</v>
      </c>
    </row>
    <row r="42" customFormat="false" ht="14.25" hidden="false" customHeight="false" outlineLevel="0" collapsed="false">
      <c r="A42" s="3" t="n">
        <v>160</v>
      </c>
      <c r="B42" s="0" t="n">
        <f aca="false">A42+273.15</f>
        <v>433.15</v>
      </c>
      <c r="C42" s="0" t="n">
        <f aca="false">($Q$4-(1/B42))/$Q$2</f>
        <v>-105.115338134797</v>
      </c>
      <c r="D42" s="0" t="n">
        <f aca="false">SQRT(($Q$3/(3*$Q$2))^3+(C42^2)/4)</f>
        <v>1566.52663742897</v>
      </c>
      <c r="E42" s="4" t="n">
        <f aca="false">EXP((D42-(C42/2))^(1/3)-(D42+(C42/2))^(1/3))</f>
        <v>1.2967</v>
      </c>
      <c r="F42" s="0" t="n">
        <f aca="false">E42*$B$2/(E42+$B$1)</f>
        <v>1.08117798122301</v>
      </c>
      <c r="G42" s="0" t="n">
        <f aca="false">(F42/$B$2*$B$5)</f>
        <v>221.209014958227</v>
      </c>
      <c r="H42" s="3" t="n">
        <f aca="false">ROUND(G42*$B$3,0)</f>
        <v>3539</v>
      </c>
    </row>
    <row r="43" customFormat="false" ht="14.25" hidden="false" customHeight="false" outlineLevel="0" collapsed="false">
      <c r="A43" s="3" t="n">
        <v>165</v>
      </c>
      <c r="B43" s="0" t="n">
        <f aca="false">A43+273.15</f>
        <v>438.15</v>
      </c>
      <c r="C43" s="0" t="n">
        <f aca="false">($Q$4-(1/B43))/$Q$2</f>
        <v>-58.35581469531</v>
      </c>
      <c r="D43" s="0" t="n">
        <f aca="false">SQRT(($Q$3/(3*$Q$2))^3+(C43^2)/4)</f>
        <v>1565.91658381726</v>
      </c>
      <c r="E43" s="4" t="n">
        <f aca="false">EXP((D43-(C43/2))^(1/3)-(D43+(C43/2))^(1/3))</f>
        <v>1.15518408427519</v>
      </c>
      <c r="F43" s="0" t="n">
        <f aca="false">E43*$B$2/(E43+$B$1)</f>
        <v>0.986462652282423</v>
      </c>
      <c r="G43" s="0" t="n">
        <f aca="false">(F43/$B$2*$B$5)</f>
        <v>201.830258656984</v>
      </c>
      <c r="H43" s="3" t="n">
        <f aca="false">ROUND(G43*$B$3,0)</f>
        <v>3229</v>
      </c>
    </row>
    <row r="44" customFormat="false" ht="14.25" hidden="false" customHeight="false" outlineLevel="0" collapsed="false">
      <c r="A44" s="3" t="n">
        <v>170</v>
      </c>
      <c r="B44" s="0" t="n">
        <f aca="false">A44+273.15</f>
        <v>443.15</v>
      </c>
      <c r="C44" s="0" t="n">
        <f aca="false">($Q$4-(1/B44))/$Q$2</f>
        <v>-12.6514536938112</v>
      </c>
      <c r="D44" s="0" t="n">
        <f aca="false">SQRT(($Q$3/(3*$Q$2))^3+(C44^2)/4)</f>
        <v>1565.65750150436</v>
      </c>
      <c r="E44" s="4" t="n">
        <f aca="false">EXP((D44-(C44/2))^(1/3)-(D44+(C44/2))^(1/3))</f>
        <v>1.03177108335707</v>
      </c>
      <c r="F44" s="0" t="n">
        <f aca="false">E44*$B$2/(E44+$B$1)</f>
        <v>0.900045612736478</v>
      </c>
      <c r="G44" s="0" t="n">
        <f aca="false">(F44/$B$2*$B$5)</f>
        <v>184.149332365883</v>
      </c>
      <c r="H44" s="3" t="n">
        <f aca="false">ROUND(G44*$B$3,0)</f>
        <v>2946</v>
      </c>
    </row>
    <row r="45" customFormat="false" ht="14.25" hidden="false" customHeight="false" outlineLevel="0" collapsed="false">
      <c r="A45" s="3" t="n">
        <v>175</v>
      </c>
      <c r="B45" s="0" t="n">
        <f aca="false">A45+273.15</f>
        <v>448.15</v>
      </c>
      <c r="C45" s="0" t="n">
        <f aca="false">($Q$4-(1/B45))/$Q$2</f>
        <v>32.0330621442041</v>
      </c>
      <c r="D45" s="0" t="n">
        <f aca="false">SQRT(($Q$3/(3*$Q$2))^3+(C45^2)/4)</f>
        <v>1565.72664487269</v>
      </c>
      <c r="E45" s="4" t="n">
        <f aca="false">EXP((D45-(C45/2))^(1/3)-(D45+(C45/2))^(1/3))</f>
        <v>0.923863590780673</v>
      </c>
      <c r="F45" s="0" t="n">
        <f aca="false">E45*$B$2/(E45+$B$1)</f>
        <v>0.821378022304082</v>
      </c>
      <c r="G45" s="0" t="n">
        <f aca="false">(F45/$B$2*$B$5)</f>
        <v>168.053943363415</v>
      </c>
      <c r="H45" s="3" t="n">
        <f aca="false">ROUND(G45*$B$3,0)</f>
        <v>2689</v>
      </c>
    </row>
    <row r="46" customFormat="false" ht="14.25" hidden="false" customHeight="false" outlineLevel="0" collapsed="false">
      <c r="A46" s="3" t="n">
        <v>180</v>
      </c>
      <c r="B46" s="0" t="n">
        <f aca="false">A46+273.15</f>
        <v>453.15</v>
      </c>
      <c r="C46" s="0" t="n">
        <f aca="false">($Q$4-(1/B46))/$Q$2</f>
        <v>75.7314913478152</v>
      </c>
      <c r="D46" s="0" t="n">
        <f aca="false">SQRT(($Q$3/(3*$Q$2))^3+(C46^2)/4)</f>
        <v>1566.10255471733</v>
      </c>
      <c r="E46" s="4" t="n">
        <f aca="false">EXP((D46-(C46/2))^(1/3)-(D46+(C46/2))^(1/3))</f>
        <v>0.829272035908017</v>
      </c>
      <c r="F46" s="0" t="n">
        <f aca="false">E46*$B$2/(E46+$B$1)</f>
        <v>0.749892599353573</v>
      </c>
      <c r="G46" s="0" t="n">
        <f aca="false">(F46/$B$2*$B$5)</f>
        <v>153.428025827741</v>
      </c>
      <c r="H46" s="3" t="n">
        <f aca="false">ROUND(G46*$B$3,0)</f>
        <v>2455</v>
      </c>
    </row>
    <row r="47" customFormat="false" ht="14.25" hidden="false" customHeight="false" outlineLevel="0" collapsed="false">
      <c r="A47" s="3" t="n">
        <v>185</v>
      </c>
      <c r="B47" s="0" t="n">
        <f aca="false">A47+273.15</f>
        <v>458.15</v>
      </c>
      <c r="C47" s="0" t="n">
        <f aca="false">($Q$4-(1/B47))/$Q$2</f>
        <v>118.476118757176</v>
      </c>
      <c r="D47" s="0" t="n">
        <f aca="false">SQRT(($Q$3/(3*$Q$2))^3+(C47^2)/4)</f>
        <v>1566.76499350594</v>
      </c>
      <c r="E47" s="4" t="n">
        <f aca="false">EXP((D47-(C47/2))^(1/3)-(D47+(C47/2))^(1/3))</f>
        <v>0.746145726001559</v>
      </c>
      <c r="F47" s="0" t="n">
        <f aca="false">E47*$B$2/(E47+$B$1)</f>
        <v>0.685021815005089</v>
      </c>
      <c r="G47" s="0" t="n">
        <f aca="false">(F47/$B$2*$B$5)</f>
        <v>140.155463350041</v>
      </c>
      <c r="H47" s="3" t="n">
        <f aca="false">ROUND(G47*$B$3,0)</f>
        <v>2242</v>
      </c>
    </row>
    <row r="48" customFormat="false" ht="14.25" hidden="false" customHeight="false" outlineLevel="0" collapsed="false">
      <c r="A48" s="3" t="n">
        <v>190</v>
      </c>
      <c r="B48" s="0" t="n">
        <f aca="false">A48+273.15</f>
        <v>463.15</v>
      </c>
      <c r="C48" s="0" t="n">
        <f aca="false">($Q$4-(1/B48))/$Q$2</f>
        <v>160.297835070577</v>
      </c>
      <c r="D48" s="0" t="n">
        <f aca="false">SQRT(($Q$3/(3*$Q$2))^3+(C48^2)/4)</f>
        <v>1567.69488299822</v>
      </c>
      <c r="E48" s="4" t="n">
        <f aca="false">EXP((D48-(C48/2))^(1/3)-(D48+(C48/2))^(1/3))</f>
        <v>0.672916301160293</v>
      </c>
      <c r="F48" s="0" t="n">
        <f aca="false">E48*$B$2/(E48+$B$1)</f>
        <v>0.626211412426967</v>
      </c>
      <c r="G48" s="0" t="n">
        <f aca="false">(F48/$B$2*$B$5)</f>
        <v>128.122854982557</v>
      </c>
      <c r="H48" s="3" t="n">
        <f aca="false">ROUND(G48*$B$3,0)</f>
        <v>2050</v>
      </c>
    </row>
    <row r="49" customFormat="false" ht="14.25" hidden="false" customHeight="false" outlineLevel="0" collapsed="false">
      <c r="A49" s="3" t="n">
        <v>195</v>
      </c>
      <c r="B49" s="0" t="n">
        <f aca="false">A49+273.15</f>
        <v>468.15</v>
      </c>
      <c r="C49" s="0" t="n">
        <f aca="false">($Q$4-(1/B49))/$Q$2</f>
        <v>201.226211293976</v>
      </c>
      <c r="D49" s="0" t="n">
        <f aca="false">SQRT(($Q$3/(3*$Q$2))^3+(C49^2)/4)</f>
        <v>1568.87424423523</v>
      </c>
      <c r="E49" s="4" t="n">
        <f aca="false">EXP((D49-(C49/2))^(1/3)-(D49+(C49/2))^(1/3))</f>
        <v>0.608251243557934</v>
      </c>
      <c r="F49" s="0" t="n">
        <f aca="false">E49*$B$2/(E49+$B$1)</f>
        <v>0.572929968505263</v>
      </c>
      <c r="G49" s="0" t="n">
        <f aca="false">(F49/$B$2*$B$5)</f>
        <v>117.221471556177</v>
      </c>
      <c r="H49" s="3" t="n">
        <f aca="false">ROUND(G49*$B$3,0)</f>
        <v>1876</v>
      </c>
    </row>
    <row r="50" customFormat="false" ht="14.25" hidden="false" customHeight="false" outlineLevel="0" collapsed="false">
      <c r="A50" s="3" t="n">
        <v>200</v>
      </c>
      <c r="B50" s="0" t="n">
        <f aca="false">A50+273.15</f>
        <v>473.15</v>
      </c>
      <c r="C50" s="0" t="n">
        <f aca="false">($Q$4-(1/B50))/$Q$2</f>
        <v>241.289568470068</v>
      </c>
      <c r="D50" s="0" t="n">
        <f aca="false">SQRT(($Q$3/(3*$Q$2))^3+(C50^2)/4)</f>
        <v>1570.2861398993</v>
      </c>
      <c r="E50" s="4" t="n">
        <f aca="false">EXP((D50-(C50/2))^(1/3)-(D50+(C50/2))^(1/3))</f>
        <v>0.551015552375062</v>
      </c>
      <c r="F50" s="0" t="n">
        <f aca="false">E50*$B$2/(E50+$B$1)</f>
        <v>0.524675224134344</v>
      </c>
      <c r="G50" s="0" t="n">
        <f aca="false">(F50/$B$2*$B$5)</f>
        <v>107.348550857887</v>
      </c>
      <c r="H50" s="3" t="n">
        <f aca="false">ROUND(G50*$B$3,0)</f>
        <v>1718</v>
      </c>
    </row>
    <row r="51" customFormat="false" ht="14.25" hidden="false" customHeight="false" outlineLevel="0" collapsed="false">
      <c r="A51" s="3" t="n">
        <v>205</v>
      </c>
      <c r="B51" s="0" t="n">
        <f aca="false">A51+273.15</f>
        <v>478.15</v>
      </c>
      <c r="C51" s="0" t="n">
        <f aca="false">($Q$4-(1/B51))/$Q$2</f>
        <v>280.515043032417</v>
      </c>
      <c r="D51" s="0" t="n">
        <f aca="false">SQRT(($Q$3/(3*$Q$2))^3+(C51^2)/4)</f>
        <v>1571.91461903584</v>
      </c>
      <c r="E51" s="4" t="n">
        <f aca="false">EXP((D51-(C51/2))^(1/3)-(D51+(C51/2))^(1/3))</f>
        <v>0.500240068082569</v>
      </c>
      <c r="F51" s="0" t="n">
        <f aca="false">E51*$B$2/(E51+$B$1)</f>
        <v>0.480977860188498</v>
      </c>
      <c r="G51" s="0" t="n">
        <f aca="false">(F51/$B$2*$B$5)</f>
        <v>98.4080701945667</v>
      </c>
      <c r="H51" s="3" t="n">
        <f aca="false">ROUND(G51*$B$3,0)</f>
        <v>1575</v>
      </c>
    </row>
    <row r="52" customFormat="false" ht="14.25" hidden="false" customHeight="false" outlineLevel="0" collapsed="false">
      <c r="A52" s="3" t="n">
        <v>210</v>
      </c>
      <c r="B52" s="0" t="n">
        <f aca="false">A52+273.15</f>
        <v>483.15</v>
      </c>
      <c r="C52" s="0" t="n">
        <f aca="false">($Q$4-(1/B52))/$Q$2</f>
        <v>318.928648101599</v>
      </c>
      <c r="D52" s="0" t="n">
        <f aca="false">SQRT(($Q$3/(3*$Q$2))^3+(C52^2)/4)</f>
        <v>1573.74466411858</v>
      </c>
      <c r="E52" s="4" t="n">
        <f aca="false">EXP((D52-(C52/2))^(1/3)-(D52+(C52/2))^(1/3))</f>
        <v>0.455095225407458</v>
      </c>
      <c r="F52" s="0" t="n">
        <f aca="false">E52*$B$2/(E52+$B$1)</f>
        <v>0.44140331604785</v>
      </c>
      <c r="G52" s="0" t="n">
        <f aca="false">(F52/$B$2*$B$5)</f>
        <v>90.3111184633901</v>
      </c>
      <c r="H52" s="3" t="n">
        <f aca="false">ROUND(G52*$B$3,0)</f>
        <v>1445</v>
      </c>
    </row>
    <row r="53" customFormat="false" ht="14.25" hidden="false" customHeight="false" outlineLevel="0" collapsed="false">
      <c r="A53" s="3" t="n">
        <v>215</v>
      </c>
      <c r="B53" s="0" t="n">
        <f aca="false">A53+273.15</f>
        <v>488.15</v>
      </c>
      <c r="C53" s="0" t="n">
        <f aca="false">($Q$4-(1/B53))/$Q$2</f>
        <v>356.555331014289</v>
      </c>
      <c r="D53" s="0" t="n">
        <f aca="false">SQRT(($Q$3/(3*$Q$2))^3+(C53^2)/4)</f>
        <v>1575.76214043091</v>
      </c>
      <c r="E53" s="4" t="n">
        <f aca="false">EXP((D53-(C53/2))^(1/3)-(D53+(C53/2))^(1/3))</f>
        <v>0.414869249772555</v>
      </c>
      <c r="F53" s="0" t="n">
        <f aca="false">E53*$B$2/(E53+$B$1)</f>
        <v>0.40555215540554</v>
      </c>
      <c r="G53" s="0" t="n">
        <f aca="false">(F53/$B$2*$B$5)</f>
        <v>82.9759709959734</v>
      </c>
      <c r="H53" s="3" t="n">
        <f aca="false">ROUND(G53*$B$3,0)</f>
        <v>1328</v>
      </c>
    </row>
    <row r="54" customFormat="false" ht="14.25" hidden="false" customHeight="false" outlineLevel="0" collapsed="false">
      <c r="A54" s="3" t="n">
        <v>220</v>
      </c>
      <c r="B54" s="0" t="n">
        <f aca="false">A54+273.15</f>
        <v>493.15</v>
      </c>
      <c r="C54" s="0" t="n">
        <f aca="false">($Q$4-(1/B54))/$Q$2</f>
        <v>393.419027352657</v>
      </c>
      <c r="D54" s="0" t="n">
        <f aca="false">SQRT(($Q$3/(3*$Q$2))^3+(C54^2)/4)</f>
        <v>1577.95374772757</v>
      </c>
      <c r="E54" s="4" t="n">
        <f aca="false">EXP((D54-(C54/2))^(1/3)-(D54+(C54/2))^(1/3))</f>
        <v>0.37895</v>
      </c>
      <c r="F54" s="0" t="n">
        <f aca="false">E54*$B$2/(E54+$B$1)</f>
        <v>0.373059392197206</v>
      </c>
      <c r="G54" s="0" t="n">
        <f aca="false">(F54/$B$2*$B$5)</f>
        <v>76.3279516435485</v>
      </c>
      <c r="H54" s="3" t="n">
        <f aca="false">ROUND(G54*$B$3,0)</f>
        <v>1221</v>
      </c>
    </row>
    <row r="55" customFormat="false" ht="14.25" hidden="false" customHeight="false" outlineLevel="0" collapsed="false">
      <c r="A55" s="3" t="n">
        <v>225</v>
      </c>
      <c r="B55" s="0" t="n">
        <f aca="false">A55+273.15</f>
        <v>498.15</v>
      </c>
      <c r="C55" s="0" t="n">
        <f aca="false">($Q$4-(1/B55))/$Q$2</f>
        <v>429.542711719964</v>
      </c>
      <c r="D55" s="0" t="n">
        <f aca="false">SQRT(($Q$3/(3*$Q$2))^3+(C55^2)/4)</f>
        <v>1580.3069741334</v>
      </c>
      <c r="E55" s="4" t="n">
        <f aca="false">EXP((D55-(C55/2))^(1/3)-(D55+(C55/2))^(1/3))</f>
        <v>0.346809810557652</v>
      </c>
      <c r="F55" s="0" t="n">
        <f aca="false">E55*$B$2/(E55+$B$1)</f>
        <v>0.343593104927537</v>
      </c>
      <c r="G55" s="0" t="n">
        <f aca="false">(F55/$B$2*$B$5)</f>
        <v>70.2991492681741</v>
      </c>
      <c r="H55" s="3" t="n">
        <f aca="false">ROUND(G55*$B$3,0)</f>
        <v>1125</v>
      </c>
    </row>
    <row r="56" customFormat="false" ht="14.25" hidden="false" customHeight="false" outlineLevel="0" collapsed="false">
      <c r="A56" s="3" t="n">
        <v>230</v>
      </c>
      <c r="B56" s="0" t="n">
        <f aca="false">A56+273.15</f>
        <v>503.15</v>
      </c>
      <c r="C56" s="0" t="n">
        <f aca="false">($Q$4-(1/B56))/$Q$2</f>
        <v>464.948445488696</v>
      </c>
      <c r="D56" s="0" t="n">
        <f aca="false">SQRT(($Q$3/(3*$Q$2))^3+(C56^2)/4)</f>
        <v>1582.81005222904</v>
      </c>
      <c r="E56" s="4" t="n">
        <f aca="false">EXP((D56-(C56/2))^(1/3)-(D56+(C56/2))^(1/3))</f>
        <v>0.31799280739709</v>
      </c>
      <c r="F56" s="0" t="n">
        <f aca="false">E56*$B$2/(E56+$B$1)</f>
        <v>0.316852593858178</v>
      </c>
      <c r="G56" s="0" t="n">
        <f aca="false">(F56/$B$2*$B$5)</f>
        <v>64.8280407033832</v>
      </c>
      <c r="H56" s="3" t="n">
        <f aca="false">ROUND(G56*$B$3,0)</f>
        <v>1037</v>
      </c>
    </row>
    <row r="57" customFormat="false" ht="14.25" hidden="false" customHeight="false" outlineLevel="0" collapsed="false">
      <c r="A57" s="3" t="n">
        <v>235</v>
      </c>
      <c r="B57" s="0" t="n">
        <f aca="false">A57+273.15</f>
        <v>508.15</v>
      </c>
      <c r="C57" s="0" t="n">
        <f aca="false">($Q$4-(1/B57))/$Q$2</f>
        <v>499.657421729755</v>
      </c>
      <c r="D57" s="0" t="n">
        <f aca="false">SQRT(($Q$3/(3*$Q$2))^3+(C57^2)/4)</f>
        <v>1585.45191726811</v>
      </c>
      <c r="E57" s="4" t="n">
        <f aca="false">EXP((D57-(C57/2))^(1/3)-(D57+(C57/2))^(1/3))</f>
        <v>0.292104268594025</v>
      </c>
      <c r="F57" s="0" t="n">
        <f aca="false">E57*$B$2/(E57+$B$1)</f>
        <v>0.292566273536884</v>
      </c>
      <c r="G57" s="0" t="n">
        <f aca="false">(F57/$B$2*$B$5)</f>
        <v>59.8590595656464</v>
      </c>
      <c r="H57" s="3" t="n">
        <f aca="false">ROUND(G57*$B$3,0)</f>
        <v>958</v>
      </c>
    </row>
    <row r="58" customFormat="false" ht="14.25" hidden="false" customHeight="false" outlineLevel="0" collapsed="false">
      <c r="A58" s="3" t="n">
        <v>240</v>
      </c>
      <c r="B58" s="0" t="n">
        <f aca="false">A58+273.15</f>
        <v>513.15</v>
      </c>
      <c r="C58" s="0" t="n">
        <f aca="false">($Q$4-(1/B58))/$Q$2</f>
        <v>533.690007514981</v>
      </c>
      <c r="D58" s="0" t="n">
        <f aca="false">SQRT(($Q$3/(3*$Q$2))^3+(C58^2)/4)</f>
        <v>1588.22216746495</v>
      </c>
      <c r="E58" s="4" t="n">
        <f aca="false">EXP((D58-(C58/2))^(1/3)-(D58+(C58/2))^(1/3))</f>
        <v>0.268801679364267</v>
      </c>
      <c r="F58" s="0" t="n">
        <f aca="false">E58*$B$2/(E58+$B$1)</f>
        <v>0.270489442636256</v>
      </c>
      <c r="G58" s="0" t="n">
        <f aca="false">(F58/$B$2*$B$5)</f>
        <v>55.3421399633779</v>
      </c>
      <c r="H58" s="3" t="n">
        <f aca="false">ROUND(G58*$B$3,0)</f>
        <v>885</v>
      </c>
    </row>
    <row r="59" customFormat="false" ht="14.25" hidden="false" customHeight="false" outlineLevel="0" collapsed="false">
      <c r="A59" s="3" t="n">
        <v>245</v>
      </c>
      <c r="B59" s="0" t="n">
        <f aca="false">A59+273.15</f>
        <v>518.15</v>
      </c>
      <c r="C59" s="0" t="n">
        <f aca="false">($Q$4-(1/B59))/$Q$2</f>
        <v>567.065783770433</v>
      </c>
      <c r="D59" s="0" t="n">
        <f aca="false">SQRT(($Q$3/(3*$Q$2))^3+(C59^2)/4)</f>
        <v>1591.11102628871</v>
      </c>
      <c r="E59" s="4" t="n">
        <f aca="false">EXP((D59-(C59/2))^(1/3)-(D59+(C59/2))^(1/3))</f>
        <v>0.247787194382926</v>
      </c>
      <c r="F59" s="0" t="n">
        <f aca="false">E59*$B$2/(E59+$B$1)</f>
        <v>0.25040203291709</v>
      </c>
      <c r="G59" s="0" t="n">
        <f aca="false">(F59/$B$2*$B$5)</f>
        <v>51.2322559348367</v>
      </c>
      <c r="H59" s="3" t="n">
        <f aca="false">ROUND(G59*$B$3,0)</f>
        <v>820</v>
      </c>
    </row>
    <row r="60" customFormat="false" ht="14.25" hidden="false" customHeight="false" outlineLevel="0" collapsed="false">
      <c r="A60" s="3" t="n">
        <v>250</v>
      </c>
      <c r="B60" s="0" t="n">
        <f aca="false">A60+273.15</f>
        <v>523.15</v>
      </c>
      <c r="C60" s="0" t="n">
        <f aca="false">($Q$4-(1/B60))/$Q$2</f>
        <v>599.803582844285</v>
      </c>
      <c r="D60" s="0" t="n">
        <f aca="false">SQRT(($Q$3/(3*$Q$2))^3+(C60^2)/4)</f>
        <v>1594.10930669604</v>
      </c>
      <c r="E60" s="4" t="n">
        <f aca="false">EXP((D60-(C60/2))^(1/3)-(D60+(C60/2))^(1/3))</f>
        <v>0.228801271678709</v>
      </c>
      <c r="F60" s="0" t="n">
        <f aca="false">E60*$B$2/(E60+$B$1)</f>
        <v>0.232106407894166</v>
      </c>
      <c r="G60" s="0" t="n">
        <f aca="false">(F60/$B$2*$B$5)</f>
        <v>47.4889710551465</v>
      </c>
      <c r="H60" s="3" t="n">
        <f aca="false">ROUND(G60*$B$3,0)</f>
        <v>760</v>
      </c>
    </row>
    <row r="61" customFormat="false" ht="14.25" hidden="false" customHeight="false" outlineLevel="0" collapsed="false">
      <c r="A61" s="3" t="n">
        <v>255</v>
      </c>
      <c r="B61" s="0" t="n">
        <f aca="false">A61+273.15</f>
        <v>528.15</v>
      </c>
      <c r="C61" s="0" t="n">
        <f aca="false">($Q$4-(1/B61))/$Q$2</f>
        <v>631.921523940784</v>
      </c>
      <c r="D61" s="0" t="n">
        <f aca="false">SQRT(($Q$3/(3*$Q$2))^3+(C61^2)/4)</f>
        <v>1597.20837723249</v>
      </c>
      <c r="E61" s="4" t="n">
        <f aca="false">EXP((D61-(C61/2))^(1/3)-(D61+(C61/2))^(1/3))</f>
        <v>0.211617284084693</v>
      </c>
      <c r="F61" s="0" t="n">
        <f aca="false">E61*$B$2/(E61+$B$1)</f>
        <v>0.215425257959741</v>
      </c>
      <c r="G61" s="0" t="n">
        <f aca="false">(F61/$B$2*$B$5)</f>
        <v>44.076007778563</v>
      </c>
      <c r="H61" s="3" t="n">
        <f aca="false">ROUND(G61*$B$3,0)</f>
        <v>705</v>
      </c>
    </row>
    <row r="62" customFormat="false" ht="14.25" hidden="false" customHeight="false" outlineLevel="0" collapsed="false">
      <c r="A62" s="3" t="n">
        <v>260</v>
      </c>
      <c r="B62" s="0" t="n">
        <f aca="false">A62+273.15</f>
        <v>533.15</v>
      </c>
      <c r="C62" s="0" t="n">
        <f aca="false">($Q$4-(1/B62))/$Q$2</f>
        <v>663.437046560373</v>
      </c>
      <c r="D62" s="0" t="n">
        <f aca="false">SQRT(($Q$3/(3*$Q$2))^3+(C62^2)/4)</f>
        <v>1600.40012993123</v>
      </c>
      <c r="E62" s="4" t="n">
        <f aca="false">EXP((D62-(C62/2))^(1/3)-(D62+(C62/2))^(1/3))</f>
        <v>0.196036948189321</v>
      </c>
      <c r="F62" s="0" t="n">
        <f aca="false">E62*$B$2/(E62+$B$1)</f>
        <v>0.20019962090137</v>
      </c>
      <c r="G62" s="0" t="n">
        <f aca="false">(F62/$B$2*$B$5)</f>
        <v>40.9608424364203</v>
      </c>
      <c r="H62" s="3" t="n">
        <f aca="false">ROUND(G62*$B$3,0)</f>
        <v>655</v>
      </c>
    </row>
    <row r="63" customFormat="false" ht="14.25" hidden="false" customHeight="false" outlineLevel="0" collapsed="false">
      <c r="A63" s="3" t="n">
        <v>265</v>
      </c>
      <c r="B63" s="0" t="n">
        <f aca="false">A63+273.15</f>
        <v>538.15</v>
      </c>
      <c r="C63" s="0" t="n">
        <f aca="false">($Q$4-(1/B63))/$Q$2</f>
        <v>694.36694207563</v>
      </c>
      <c r="D63" s="0" t="n">
        <f aca="false">SQRT(($Q$3/(3*$Q$2))^3+(C63^2)/4)</f>
        <v>1603.6769499368</v>
      </c>
      <c r="E63" s="4" t="n">
        <f aca="false">EXP((D63-(C63/2))^(1/3)-(D63+(C63/2))^(1/3))</f>
        <v>0.181886438449325</v>
      </c>
      <c r="F63" s="0" t="n">
        <f aca="false">E63*$B$2/(E63+$B$1)</f>
        <v>0.186287043689508</v>
      </c>
      <c r="G63" s="0" t="n">
        <f aca="false">(F63/$B$2*$B$5)</f>
        <v>38.1143291388733</v>
      </c>
      <c r="H63" s="3" t="n">
        <f aca="false">ROUND(G63*$B$3,0)</f>
        <v>610</v>
      </c>
    </row>
    <row r="64" customFormat="false" ht="14.25" hidden="false" customHeight="false" outlineLevel="0" collapsed="false">
      <c r="A64" s="3" t="n">
        <v>270</v>
      </c>
      <c r="B64" s="0" t="n">
        <f aca="false">A64+273.15</f>
        <v>543.15</v>
      </c>
      <c r="C64" s="0" t="n">
        <f aca="false">($Q$4-(1/B64))/$Q$2</f>
        <v>724.727383563174</v>
      </c>
      <c r="D64" s="0" t="n">
        <f aca="false">SQRT(($Q$3/(3*$Q$2))^3+(C64^2)/4)</f>
        <v>1607.03168678104</v>
      </c>
      <c r="E64" s="4" t="n">
        <f aca="false">EXP((D64-(C64/2))^(1/3)-(D64+(C64/2))^(1/3))</f>
        <v>0.169013076799734</v>
      </c>
      <c r="F64" s="0" t="n">
        <f aca="false">E64*$B$2/(E64+$B$1)</f>
        <v>0.17355989204985</v>
      </c>
      <c r="G64" s="0" t="n">
        <f aca="false">(F64/$B$2*$B$5)</f>
        <v>35.5103539133994</v>
      </c>
      <c r="H64" s="3" t="n">
        <f aca="false">ROUND(G64*$B$3,0)</f>
        <v>568</v>
      </c>
    </row>
    <row r="65" customFormat="false" ht="14.25" hidden="false" customHeight="false" outlineLevel="0" collapsed="false">
      <c r="A65" s="3" t="n">
        <v>275</v>
      </c>
      <c r="B65" s="0" t="n">
        <f aca="false">A65+273.15</f>
        <v>548.15</v>
      </c>
      <c r="C65" s="0" t="n">
        <f aca="false">($Q$4-(1/B65))/$Q$2</f>
        <v>754.533954002873</v>
      </c>
      <c r="D65" s="0" t="n">
        <f aca="false">SQRT(($Q$3/(3*$Q$2))^3+(C65^2)/4)</f>
        <v>1610.45762723908</v>
      </c>
      <c r="E65" s="4" t="n">
        <f aca="false">EXP((D65-(C65/2))^(1/3)-(D65+(C65/2))^(1/3))</f>
        <v>0.157282506684764</v>
      </c>
      <c r="F65" s="0" t="n">
        <f aca="false">E65*$B$2/(E65+$B$1)</f>
        <v>0.161903807806429</v>
      </c>
      <c r="G65" s="0" t="n">
        <f aca="false">(F65/$B$2*$B$5)</f>
        <v>33.1255190771954</v>
      </c>
      <c r="H65" s="3" t="n">
        <f aca="false">ROUND(G65*$B$3,0)</f>
        <v>530</v>
      </c>
    </row>
    <row r="66" customFormat="false" ht="14.25" hidden="false" customHeight="false" outlineLevel="0" collapsed="false">
      <c r="A66" s="3" t="n">
        <v>280</v>
      </c>
      <c r="B66" s="0" t="n">
        <f aca="false">A66+273.15</f>
        <v>553.15</v>
      </c>
      <c r="C66" s="0" t="n">
        <f aca="false">($Q$4-(1/B66))/$Q$2</f>
        <v>783.801672947686</v>
      </c>
      <c r="D66" s="0" t="n">
        <f aca="false">SQRT(($Q$3/(3*$Q$2))^3+(C66^2)/4)</f>
        <v>1613.94846969338</v>
      </c>
      <c r="E66" s="4" t="n">
        <f aca="false">EXP((D66-(C66/2))^(1/3)-(D66+(C66/2))^(1/3))</f>
        <v>0.146576275707074</v>
      </c>
      <c r="F66" s="0" t="n">
        <f aca="false">E66*$B$2/(E66+$B$1)</f>
        <v>0.151216309585151</v>
      </c>
      <c r="G66" s="0" t="n">
        <f aca="false">(F66/$B$2*$B$5)</f>
        <v>30.938856941122</v>
      </c>
      <c r="H66" s="3" t="n">
        <f aca="false">ROUND(G66*$B$3,0)</f>
        <v>495</v>
      </c>
    </row>
    <row r="67" customFormat="false" ht="14.25" hidden="false" customHeight="false" outlineLevel="0" collapsed="false">
      <c r="A67" s="3" t="n">
        <v>285</v>
      </c>
      <c r="B67" s="0" t="n">
        <f aca="false">A67+273.15</f>
        <v>558.15</v>
      </c>
      <c r="C67" s="0" t="n">
        <f aca="false">($Q$4-(1/B67))/$Q$2</f>
        <v>812.545021760011</v>
      </c>
      <c r="D67" s="0" t="n">
        <f aca="false">SQRT(($Q$3/(3*$Q$2))^3+(C67^2)/4)</f>
        <v>1617.49829993526</v>
      </c>
      <c r="E67" s="4" t="n">
        <f aca="false">EXP((D67-(C67/2))^(1/3)-(D67+(C67/2))^(1/3))</f>
        <v>0.136789763670206</v>
      </c>
      <c r="F67" s="0" t="n">
        <f aca="false">E67*$B$2/(E67+$B$1)</f>
        <v>0.141405529652801</v>
      </c>
      <c r="G67" s="0" t="n">
        <f aca="false">(F67/$B$2*$B$5)</f>
        <v>28.9315713669631</v>
      </c>
      <c r="H67" s="3" t="n">
        <f aca="false">ROUND(G67*$B$3,0)</f>
        <v>463</v>
      </c>
    </row>
    <row r="68" customFormat="false" ht="14.25" hidden="false" customHeight="false" outlineLevel="0" collapsed="false">
      <c r="A68" s="3" t="n">
        <v>290</v>
      </c>
      <c r="B68" s="0" t="n">
        <f aca="false">A68+273.15</f>
        <v>563.15</v>
      </c>
      <c r="C68" s="0" t="n">
        <f aca="false">($Q$4-(1/B68))/$Q$2</f>
        <v>840.777967503663</v>
      </c>
      <c r="D68" s="0" t="n">
        <f aca="false">SQRT(($Q$3/(3*$Q$2))^3+(C68^2)/4)</f>
        <v>1621.10156833451</v>
      </c>
      <c r="E68" s="4" t="n">
        <f aca="false">EXP((D68-(C68/2))^(1/3)-(D68+(C68/2))^(1/3))</f>
        <v>0.127830403168385</v>
      </c>
      <c r="F68" s="0" t="n">
        <f aca="false">E68*$B$2/(E68+$B$1)</f>
        <v>0.132389078005405</v>
      </c>
      <c r="G68" s="0" t="n">
        <f aca="false">(F68/$B$2*$B$5)</f>
        <v>27.0868053599058</v>
      </c>
      <c r="H68" s="3" t="n">
        <f aca="false">ROUND(G68*$B$3,0)</f>
        <v>433</v>
      </c>
    </row>
    <row r="69" customFormat="false" ht="14.25" hidden="false" customHeight="false" outlineLevel="0" collapsed="false">
      <c r="A69" s="3" t="n">
        <v>295</v>
      </c>
      <c r="B69" s="0" t="n">
        <f aca="false">A69+273.15</f>
        <v>568.15</v>
      </c>
      <c r="C69" s="0" t="n">
        <f aca="false">($Q$4-(1/B69))/$Q$2</f>
        <v>868.513985574277</v>
      </c>
      <c r="D69" s="0" t="n">
        <f aca="false">SQRT(($Q$3/(3*$Q$2))^3+(C69^2)/4)</f>
        <v>1624.75306830953</v>
      </c>
      <c r="E69" s="4" t="n">
        <f aca="false">EXP((D69-(C69/2))^(1/3)-(D69+(C69/2))^(1/3))</f>
        <v>0.119616148461611</v>
      </c>
      <c r="F69" s="0" t="n">
        <f aca="false">E69*$B$2/(E69+$B$1)</f>
        <v>0.124093023984692</v>
      </c>
      <c r="G69" s="0" t="n">
        <f aca="false">(F69/$B$2*$B$5)</f>
        <v>25.389432707268</v>
      </c>
      <c r="H69" s="3" t="n">
        <f aca="false">ROUND(G69*$B$3,0)</f>
        <v>406</v>
      </c>
    </row>
    <row r="70" customFormat="false" ht="14.25" hidden="false" customHeight="false" outlineLevel="0" collapsed="false">
      <c r="A70" s="3" t="n">
        <v>300</v>
      </c>
      <c r="B70" s="0" t="n">
        <f aca="false">A70+273.15</f>
        <v>573.15</v>
      </c>
      <c r="C70" s="0" t="n">
        <f aca="false">($Q$4-(1/B70))/$Q$2</f>
        <v>895.766081145185</v>
      </c>
      <c r="D70" s="0" t="n">
        <f aca="false">SQRT(($Q$3/(3*$Q$2))^3+(C70^2)/4)</f>
        <v>1628.44791603209</v>
      </c>
      <c r="E70" s="4" t="n">
        <f aca="false">EXP((D70-(C70/2))^(1/3)-(D70+(C70/2))^(1/3))</f>
        <v>0.112074155487706</v>
      </c>
      <c r="F70" s="0" t="n">
        <f aca="false">E70*$B$2/(E70+$B$1)</f>
        <v>0.116450985444495</v>
      </c>
      <c r="G70" s="0" t="n">
        <f aca="false">(F70/$B$2*$B$5)</f>
        <v>23.8258716219437</v>
      </c>
      <c r="H70" s="3" t="n">
        <f aca="false">ROUND(G70*$B$3,0)</f>
        <v>381</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2">
              <controlPr defaultSize="0" print="false" autoFill="0" autoPict="0" macro="Module1.export_marlin_table_Steinhart">
                <anchor moveWithCells="true" sizeWithCells="false">
                  <from>
                    <xdr:col>11</xdr:col>
                    <xdr:colOff>628560</xdr:colOff>
                    <xdr:row>9</xdr:row>
                    <xdr:rowOff>104760</xdr:rowOff>
                  </from>
                  <to>
                    <xdr:col>13</xdr:col>
                    <xdr:colOff>628560</xdr:colOff>
                    <xdr:row>11</xdr:row>
                    <xdr:rowOff>28440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L18" activeCellId="0" sqref="L18"/>
    </sheetView>
  </sheetViews>
  <sheetFormatPr defaultColWidth="8.5390625" defaultRowHeight="14.25" zeroHeight="false" outlineLevelRow="0" outlineLevelCol="0"/>
  <sheetData>
    <row r="1" customFormat="false" ht="14.25" hidden="false" customHeight="false" outlineLevel="0" collapsed="false">
      <c r="A1" s="0" t="s">
        <v>64</v>
      </c>
    </row>
    <row r="2" customFormat="false" ht="14.25" hidden="false" customHeight="false" outlineLevel="0" collapsed="false">
      <c r="A2" s="0" t="s">
        <v>65</v>
      </c>
    </row>
    <row r="3" customFormat="false" ht="14.25" hidden="false" customHeight="false" outlineLevel="0" collapsed="false">
      <c r="A3" s="0" t="s">
        <v>66</v>
      </c>
    </row>
    <row r="4" customFormat="false" ht="14.25" hidden="false" customHeight="false" outlineLevel="0" collapsed="false">
      <c r="A4" s="0" t="s">
        <v>67</v>
      </c>
    </row>
    <row r="5" customFormat="false" ht="14.25" hidden="false" customHeight="false" outlineLevel="0" collapsed="false">
      <c r="A5" s="0" t="s">
        <v>68</v>
      </c>
    </row>
    <row r="6" customFormat="false" ht="14.25" hidden="false" customHeight="false" outlineLevel="0" collapsed="false">
      <c r="A6" s="0" t="s">
        <v>69</v>
      </c>
    </row>
    <row r="7" customFormat="false" ht="14.25" hidden="false" customHeight="false" outlineLevel="0" collapsed="false">
      <c r="A7" s="0" t="s">
        <v>70</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
  <sheetViews>
    <sheetView showFormulas="false" showGridLines="true" showRowColHeaders="true" showZeros="true" rightToLeft="false" tabSelected="false" showOutlineSymbols="true" defaultGridColor="true" view="normal" topLeftCell="A1" colorId="64" zoomScale="97" zoomScaleNormal="97" zoomScalePageLayoutView="100" workbookViewId="0">
      <selection pane="topLeft" activeCell="A1" activeCellId="0" sqref="A1"/>
    </sheetView>
  </sheetViews>
  <sheetFormatPr defaultColWidth="8.5" defaultRowHeight="12.8" zeroHeight="false" outlineLevelRow="0" outlineLevelCol="0"/>
  <sheetData/>
  <printOptions headings="false" gridLines="false" gridLinesSet="true" horizontalCentered="false" verticalCentered="false"/>
  <pageMargins left="0.7" right="0.7" top="0.75" bottom="0.75" header="0.511811023622047" footer="0.511811023622047"/>
  <pageSetup paperSize="75"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A1"/>
  <sheetViews>
    <sheetView showFormulas="false" showGridLines="true" showRowColHeaders="true" showZeros="true" rightToLeft="false" tabSelected="false" showOutlineSymbols="true" defaultGridColor="true" view="normal" topLeftCell="A1" colorId="64" zoomScale="121" zoomScaleNormal="121" zoomScalePageLayoutView="100" workbookViewId="0">
      <selection pane="topLeft" activeCell="A1" activeCellId="0" sqref="A1"/>
    </sheetView>
  </sheetViews>
  <sheetFormatPr defaultColWidth="8.5" defaultRowHeight="12.8" zeroHeight="false" outlineLevelRow="0" outlineLevelCol="0"/>
  <sheetData/>
  <printOptions headings="false" gridLines="false" gridLinesSet="true" horizontalCentered="false" verticalCentered="false"/>
  <pageMargins left="0.7" right="0.7" top="0.75" bottom="0.75" header="0.511811023622047" footer="0.511811023622047"/>
  <pageSetup paperSize="75"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49</TotalTime>
  <Application>LibreOffice/7.4.0.3$Linux_X86_64 LibreOffice_project/40$Build-3</Application>
  <AppVersion>15.0000</AppVersion>
  <Company>Ausenco</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2013-06-13T00:56:14Z</dcterms:created>
  <dc:creator>Shaun Saggers</dc:creator>
  <dc:description/>
  <dc:language>en-US</dc:language>
  <cp:lastModifiedBy/>
  <dcterms:modified xsi:type="dcterms:W3CDTF">2023-07-05T18:08:12Z</dcterms:modified>
  <cp:revision>3</cp:revision>
  <dc:subject/>
  <dc:title/>
</cp:coreProperties>
</file>

<file path=docProps/custom.xml><?xml version="1.0" encoding="utf-8"?>
<Properties xmlns="http://schemas.openxmlformats.org/officeDocument/2006/custom-properties" xmlns:vt="http://schemas.openxmlformats.org/officeDocument/2006/docPropsVTypes"/>
</file>